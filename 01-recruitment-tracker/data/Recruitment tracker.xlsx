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COURSES AND CERTIFICATES\Projects\Recruitment tracker\"/>
    </mc:Choice>
  </mc:AlternateContent>
  <xr:revisionPtr revIDLastSave="0" documentId="13_ncr:1_{CFD3F4EA-6A6D-46B2-9C37-76939C3381EB}" xr6:coauthVersionLast="47" xr6:coauthVersionMax="47" xr10:uidLastSave="{00000000-0000-0000-0000-000000000000}"/>
  <bookViews>
    <workbookView xWindow="-108" yWindow="-108" windowWidth="23256" windowHeight="13896" xr2:uid="{F64190FF-8E54-4383-9CEF-AB43D291ECB2}"/>
  </bookViews>
  <sheets>
    <sheet name="Candidate_sheet" sheetId="1" r:id="rId1"/>
    <sheet name="Recruitment_dashboard" sheetId="2" r:id="rId2"/>
  </sheets>
  <definedNames>
    <definedName name="Slicer_Department">#N/A</definedName>
    <definedName name="Slicer_Hiring_Manage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1" i="1"/>
  <c r="H2" i="1"/>
  <c r="H3" i="1"/>
  <c r="L3" i="1" s="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alcChain>
</file>

<file path=xl/sharedStrings.xml><?xml version="1.0" encoding="utf-8"?>
<sst xmlns="http://schemas.openxmlformats.org/spreadsheetml/2006/main" count="380" uniqueCount="139">
  <si>
    <t>Candidate Name</t>
  </si>
  <si>
    <t>Job Title</t>
  </si>
  <si>
    <t>Department</t>
  </si>
  <si>
    <t>Source</t>
  </si>
  <si>
    <t>App Date</t>
  </si>
  <si>
    <t>Current Status</t>
  </si>
  <si>
    <t>Offer Date</t>
  </si>
  <si>
    <t>Hiring Manager</t>
  </si>
  <si>
    <t>Aarav Sharma</t>
  </si>
  <si>
    <t>Software Engineer</t>
  </si>
  <si>
    <t>IT</t>
  </si>
  <si>
    <t>LinkedIn</t>
  </si>
  <si>
    <t>Hired</t>
  </si>
  <si>
    <t>Sarah J.</t>
  </si>
  <si>
    <t>Aditi Rao</t>
  </si>
  <si>
    <t>HR Specialist</t>
  </si>
  <si>
    <t>HR</t>
  </si>
  <si>
    <t>Referral</t>
  </si>
  <si>
    <t>David W.</t>
  </si>
  <si>
    <t>Arjun Varma</t>
  </si>
  <si>
    <t>Data Analyst</t>
  </si>
  <si>
    <t>Indeed</t>
  </si>
  <si>
    <t>Technical Test</t>
  </si>
  <si>
    <t>Mike R.</t>
  </si>
  <si>
    <t>Bhuvan K.</t>
  </si>
  <si>
    <t>Sales Executive</t>
  </si>
  <si>
    <t>Sales</t>
  </si>
  <si>
    <t>Website</t>
  </si>
  <si>
    <t>Rejected</t>
  </si>
  <si>
    <t>Emily B.</t>
  </si>
  <si>
    <t>Chitra Nair</t>
  </si>
  <si>
    <t>Product Manager</t>
  </si>
  <si>
    <t>Product</t>
  </si>
  <si>
    <t>Interviewing</t>
  </si>
  <si>
    <t>Deepa Singh</t>
  </si>
  <si>
    <t>UX Designer</t>
  </si>
  <si>
    <t>Design</t>
  </si>
  <si>
    <t>Esha Gupta</t>
  </si>
  <si>
    <t>Backend Dev</t>
  </si>
  <si>
    <t>Offer Extended</t>
  </si>
  <si>
    <t>Farhan Ali</t>
  </si>
  <si>
    <t>Marketing Lead</t>
  </si>
  <si>
    <t>Marketing</t>
  </si>
  <si>
    <t>Withdrawn</t>
  </si>
  <si>
    <t>Ganesh P.</t>
  </si>
  <si>
    <t>Customer Success</t>
  </si>
  <si>
    <t>Ops</t>
  </si>
  <si>
    <t>Screening</t>
  </si>
  <si>
    <t>Hina Khan</t>
  </si>
  <si>
    <t>Ishan Roy</t>
  </si>
  <si>
    <t>Data Scientist</t>
  </si>
  <si>
    <t>Jiya M.</t>
  </si>
  <si>
    <t>HR Generalist</t>
  </si>
  <si>
    <t>Kabir Seth</t>
  </si>
  <si>
    <t>Sales Manager</t>
  </si>
  <si>
    <t>Laxmi D.</t>
  </si>
  <si>
    <t>UX Researcher</t>
  </si>
  <si>
    <t>New</t>
  </si>
  <si>
    <t>Mani Kant</t>
  </si>
  <si>
    <t>Frontend Dev</t>
  </si>
  <si>
    <t>Nupur S.</t>
  </si>
  <si>
    <t>Product Analyst</t>
  </si>
  <si>
    <t>Omkar T.</t>
  </si>
  <si>
    <t>Content Writer</t>
  </si>
  <si>
    <t>Pooja B.</t>
  </si>
  <si>
    <t>SEO Specialist</t>
  </si>
  <si>
    <t>Qasim R.</t>
  </si>
  <si>
    <t>Cloud Architect</t>
  </si>
  <si>
    <t>Rahul J.</t>
  </si>
  <si>
    <t>Account Manager</t>
  </si>
  <si>
    <t>Sneha W.</t>
  </si>
  <si>
    <t>QA Engineer</t>
  </si>
  <si>
    <t>Tanmay G.</t>
  </si>
  <si>
    <t>Utkarsh P.</t>
  </si>
  <si>
    <t>Python Developer</t>
  </si>
  <si>
    <t>Vidya C.</t>
  </si>
  <si>
    <t>Talent Acquisition</t>
  </si>
  <si>
    <t>Wasim A.</t>
  </si>
  <si>
    <t>Sales Rep</t>
  </si>
  <si>
    <t>Xena L.</t>
  </si>
  <si>
    <t>Graphic Designer</t>
  </si>
  <si>
    <t>Yash R.</t>
  </si>
  <si>
    <t>Systems Admin</t>
  </si>
  <si>
    <t>Zoya S.</t>
  </si>
  <si>
    <t>PR Manager</t>
  </si>
  <si>
    <t>Amit D.</t>
  </si>
  <si>
    <t>Business Analyst</t>
  </si>
  <si>
    <t>Bhavna K.</t>
  </si>
  <si>
    <t>Recruiter</t>
  </si>
  <si>
    <t>Chetan M.</t>
  </si>
  <si>
    <t>DevOps Engineer</t>
  </si>
  <si>
    <t>Divya N.</t>
  </si>
  <si>
    <t>Ehsan H.</t>
  </si>
  <si>
    <t>Data Engineer</t>
  </si>
  <si>
    <t>Falguni S.</t>
  </si>
  <si>
    <t>Copywriter</t>
  </si>
  <si>
    <t>Girish V.</t>
  </si>
  <si>
    <t>Finance Analyst</t>
  </si>
  <si>
    <t>Finance</t>
  </si>
  <si>
    <t>Hemant L.</t>
  </si>
  <si>
    <t>IT Support</t>
  </si>
  <si>
    <t>Indu P.</t>
  </si>
  <si>
    <t>Office Manager</t>
  </si>
  <si>
    <t>Admin</t>
  </si>
  <si>
    <t>Jayesh B.</t>
  </si>
  <si>
    <t>Kavita R.</t>
  </si>
  <si>
    <t>HR Director</t>
  </si>
  <si>
    <t>Lokesh T.</t>
  </si>
  <si>
    <t>Sales VP</t>
  </si>
  <si>
    <t>Megha G.</t>
  </si>
  <si>
    <t>Product Designer</t>
  </si>
  <si>
    <t>Nitin S.</t>
  </si>
  <si>
    <t>Java Developer</t>
  </si>
  <si>
    <t>Olivia D.</t>
  </si>
  <si>
    <t>Social Media Mgr</t>
  </si>
  <si>
    <t>Pankaj K.</t>
  </si>
  <si>
    <t>Security Expert</t>
  </si>
  <si>
    <t>Ritu V.</t>
  </si>
  <si>
    <t>Logistics Coord</t>
  </si>
  <si>
    <t>Sameer A.</t>
  </si>
  <si>
    <t>BI Developer</t>
  </si>
  <si>
    <t>Tara S.</t>
  </si>
  <si>
    <t>Legal Counsel</t>
  </si>
  <si>
    <t>Legal</t>
  </si>
  <si>
    <t>Uday M.</t>
  </si>
  <si>
    <t>Project Manager</t>
  </si>
  <si>
    <t>Varun B.</t>
  </si>
  <si>
    <t>Payroll Admin</t>
  </si>
  <si>
    <t>Wendy C.</t>
  </si>
  <si>
    <t>Event Planner</t>
  </si>
  <si>
    <t>Time to Hire</t>
  </si>
  <si>
    <t>Total Candidates</t>
  </si>
  <si>
    <t>Total Hires</t>
  </si>
  <si>
    <t>HR RECRUITMENT PERFORMANCE DASHBOARD - 2026</t>
  </si>
  <si>
    <t>Row Labels</t>
  </si>
  <si>
    <t>Grand Total</t>
  </si>
  <si>
    <t>Count of Candidate Name</t>
  </si>
  <si>
    <t>Average of Time to Hire</t>
  </si>
  <si>
    <t>AVG Time to 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</si>
</sst>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rial"/>
      <family val="2"/>
      <scheme val="minor"/>
    </font>
    <font>
      <sz val="10"/>
      <color theme="1"/>
      <name val="Arial"/>
      <family val="2"/>
    </font>
    <font>
      <b/>
      <sz val="16"/>
      <color theme="0"/>
      <name val="Arial"/>
      <family val="2"/>
      <scheme val="minor"/>
    </font>
  </fonts>
  <fills count="5">
    <fill>
      <patternFill patternType="none"/>
    </fill>
    <fill>
      <patternFill patternType="gray125"/>
    </fill>
    <fill>
      <patternFill patternType="solid">
        <fgColor theme="1"/>
        <bgColor indexed="64"/>
      </patternFill>
    </fill>
    <fill>
      <patternFill patternType="solid">
        <fgColor theme="4" tint="0.59999389629810485"/>
        <bgColor indexed="64"/>
      </patternFill>
    </fill>
    <fill>
      <patternFill patternType="solid">
        <fgColor theme="0" tint="-0.249977111117893"/>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wrapText="1"/>
    </xf>
    <xf numFmtId="14" fontId="1" fillId="0" borderId="1" xfId="0" applyNumberFormat="1" applyFont="1" applyBorder="1" applyAlignment="1">
      <alignment horizontal="right" wrapText="1"/>
    </xf>
    <xf numFmtId="0" fontId="1" fillId="0" borderId="1" xfId="0" applyFont="1" applyBorder="1"/>
    <xf numFmtId="0" fontId="0" fillId="0" borderId="0" xfId="0" applyAlignment="1">
      <alignment horizontal="center"/>
    </xf>
    <xf numFmtId="0" fontId="0" fillId="0" borderId="0" xfId="0" applyAlignment="1">
      <alignment horizontal="left"/>
    </xf>
    <xf numFmtId="0" fontId="1" fillId="0" borderId="2" xfId="0" applyFont="1" applyBorder="1" applyAlignment="1">
      <alignment horizontal="left"/>
    </xf>
    <xf numFmtId="0" fontId="1" fillId="0" borderId="3" xfId="0" applyFont="1" applyBorder="1"/>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left"/>
    </xf>
    <xf numFmtId="0" fontId="1" fillId="0" borderId="8" xfId="0" applyFont="1" applyBorder="1"/>
    <xf numFmtId="0" fontId="1" fillId="0" borderId="9" xfId="0" applyFont="1" applyBorder="1"/>
    <xf numFmtId="0" fontId="1" fillId="0" borderId="3" xfId="0" applyFont="1" applyBorder="1" applyAlignment="1">
      <alignment horizontal="right" wrapText="1"/>
    </xf>
    <xf numFmtId="0" fontId="1" fillId="0" borderId="3" xfId="0" applyFont="1" applyBorder="1" applyAlignment="1">
      <alignment wrapText="1"/>
    </xf>
    <xf numFmtId="0" fontId="1" fillId="0" borderId="9" xfId="0" applyFont="1" applyBorder="1" applyAlignment="1">
      <alignment wrapText="1"/>
    </xf>
    <xf numFmtId="0" fontId="0" fillId="3" borderId="10" xfId="0" applyFill="1" applyBorder="1" applyAlignment="1">
      <alignment horizontal="center"/>
    </xf>
    <xf numFmtId="0" fontId="0" fillId="3" borderId="10" xfId="0" applyFill="1" applyBorder="1"/>
    <xf numFmtId="164" fontId="0" fillId="3" borderId="10" xfId="0" applyNumberFormat="1" applyFill="1" applyBorder="1" applyAlignment="1">
      <alignment horizontal="center"/>
    </xf>
    <xf numFmtId="0" fontId="0" fillId="4" borderId="0" xfId="0" applyFill="1"/>
    <xf numFmtId="0" fontId="0" fillId="4" borderId="0" xfId="0" applyFill="1" applyAlignment="1">
      <alignment horizontal="left"/>
    </xf>
    <xf numFmtId="0" fontId="2" fillId="2" borderId="0" xfId="0" applyFont="1" applyFill="1" applyAlignment="1">
      <alignment horizontal="center" vertical="center"/>
    </xf>
  </cellXfs>
  <cellStyles count="1">
    <cellStyle name="Normal" xfId="0" builtinId="0"/>
  </cellStyles>
  <dxfs count="31">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outline="0">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0" formatCode="General"/>
      <alignment horizontal="general" vertical="bottom" textRotation="0" wrapText="1" indent="0" justifyLastLine="0" shrinkToFit="0" readingOrder="0"/>
      <border diagonalUp="0" diagonalDown="0" outline="0">
        <left style="medium">
          <color rgb="FFCCCCCC"/>
        </left>
        <right/>
        <top style="medium">
          <color rgb="FFCCCCCC"/>
        </top>
        <bottom style="medium">
          <color rgb="FFCCCCCC"/>
        </bottom>
      </border>
    </dxf>
    <dxf>
      <border outline="0">
        <right style="medium">
          <color rgb="FFCCCCCC"/>
        </right>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 tracker.xlsx]Recruitment_dashboard!PivotTable1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Calibri" panose="020F0502020204030204" pitchFamily="34" charset="0"/>
                <a:ea typeface="Calibri" panose="020F0502020204030204" pitchFamily="34" charset="0"/>
                <a:cs typeface="Calibri" panose="020F0502020204030204" pitchFamily="34" charset="0"/>
              </a:rPr>
              <a:t>Talent Pipeline Distribution by Stage</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Recruitment_dashboard!$B$38</c:f>
              <c:strCache>
                <c:ptCount val="1"/>
                <c:pt idx="0">
                  <c:v>Total</c:v>
                </c:pt>
              </c:strCache>
            </c:strRef>
          </c:tx>
          <c:spPr>
            <a:solidFill>
              <a:schemeClr val="accent1"/>
            </a:solidFill>
            <a:ln>
              <a:noFill/>
            </a:ln>
            <a:effectLst/>
          </c:spPr>
          <c:invertIfNegative val="0"/>
          <c:cat>
            <c:strRef>
              <c:f>Recruitment_dashboard!$A$39:$A$47</c:f>
              <c:strCache>
                <c:ptCount val="8"/>
                <c:pt idx="0">
                  <c:v>Hired</c:v>
                </c:pt>
                <c:pt idx="1">
                  <c:v>Interviewing</c:v>
                </c:pt>
                <c:pt idx="2">
                  <c:v>New</c:v>
                </c:pt>
                <c:pt idx="3">
                  <c:v>Offer Extended</c:v>
                </c:pt>
                <c:pt idx="4">
                  <c:v>Rejected</c:v>
                </c:pt>
                <c:pt idx="5">
                  <c:v>Screening</c:v>
                </c:pt>
                <c:pt idx="6">
                  <c:v>Technical Test</c:v>
                </c:pt>
                <c:pt idx="7">
                  <c:v>Withdrawn</c:v>
                </c:pt>
              </c:strCache>
            </c:strRef>
          </c:cat>
          <c:val>
            <c:numRef>
              <c:f>Recruitment_dashboard!$B$39:$B$47</c:f>
              <c:numCache>
                <c:formatCode>General</c:formatCode>
                <c:ptCount val="8"/>
                <c:pt idx="0">
                  <c:v>10</c:v>
                </c:pt>
                <c:pt idx="1">
                  <c:v>8</c:v>
                </c:pt>
                <c:pt idx="2">
                  <c:v>8</c:v>
                </c:pt>
                <c:pt idx="3">
                  <c:v>4</c:v>
                </c:pt>
                <c:pt idx="4">
                  <c:v>8</c:v>
                </c:pt>
                <c:pt idx="5">
                  <c:v>6</c:v>
                </c:pt>
                <c:pt idx="6">
                  <c:v>5</c:v>
                </c:pt>
                <c:pt idx="7">
                  <c:v>1</c:v>
                </c:pt>
              </c:numCache>
            </c:numRef>
          </c:val>
          <c:extLst>
            <c:ext xmlns:c16="http://schemas.microsoft.com/office/drawing/2014/chart" uri="{C3380CC4-5D6E-409C-BE32-E72D297353CC}">
              <c16:uniqueId val="{00000000-3841-4E09-9705-CDDE7E964B7B}"/>
            </c:ext>
          </c:extLst>
        </c:ser>
        <c:dLbls>
          <c:showLegendKey val="0"/>
          <c:showVal val="0"/>
          <c:showCatName val="0"/>
          <c:showSerName val="0"/>
          <c:showPercent val="0"/>
          <c:showBubbleSize val="0"/>
        </c:dLbls>
        <c:gapWidth val="150"/>
        <c:axId val="409070303"/>
        <c:axId val="409068383"/>
      </c:barChart>
      <c:catAx>
        <c:axId val="40907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68383"/>
        <c:crosses val="autoZero"/>
        <c:auto val="1"/>
        <c:lblAlgn val="ctr"/>
        <c:lblOffset val="100"/>
        <c:noMultiLvlLbl val="0"/>
      </c:catAx>
      <c:valAx>
        <c:axId val="40906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7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 tracker.xlsx]Recruitment_dashboard!PivotTable2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Calibri" panose="020F0502020204030204" pitchFamily="34" charset="0"/>
                <a:ea typeface="Calibri" panose="020F0502020204030204" pitchFamily="34" charset="0"/>
                <a:cs typeface="Calibri" panose="020F0502020204030204" pitchFamily="34" charset="0"/>
              </a:rPr>
              <a:t>Candidate Sourcing Channel Effectiveness</a:t>
            </a:r>
            <a:endParaRPr lang="en-IN"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656015211985942"/>
          <c:y val="0.14380765159534251"/>
          <c:w val="0.47250717756725386"/>
          <c:h val="0.69459832853379788"/>
        </c:manualLayout>
      </c:layout>
      <c:doughnutChart>
        <c:varyColors val="1"/>
        <c:ser>
          <c:idx val="0"/>
          <c:order val="0"/>
          <c:tx>
            <c:strRef>
              <c:f>Recruitment_dashboard!$E$38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40-4D94-96B0-3DC525EB42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40-4D94-96B0-3DC525EB42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40-4D94-96B0-3DC525EB42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40-4D94-96B0-3DC525EB4238}"/>
              </c:ext>
            </c:extLst>
          </c:dPt>
          <c:cat>
            <c:strRef>
              <c:f>Recruitment_dashboard!$D$39:$D$43</c:f>
              <c:strCache>
                <c:ptCount val="4"/>
                <c:pt idx="0">
                  <c:v>Indeed</c:v>
                </c:pt>
                <c:pt idx="1">
                  <c:v>LinkedIn</c:v>
                </c:pt>
                <c:pt idx="2">
                  <c:v>Referral</c:v>
                </c:pt>
                <c:pt idx="3">
                  <c:v>Website</c:v>
                </c:pt>
              </c:strCache>
            </c:strRef>
          </c:cat>
          <c:val>
            <c:numRef>
              <c:f>Recruitment_dashboard!$E$39:$E$43</c:f>
              <c:numCache>
                <c:formatCode>General</c:formatCode>
                <c:ptCount val="4"/>
                <c:pt idx="0">
                  <c:v>12</c:v>
                </c:pt>
                <c:pt idx="1">
                  <c:v>15</c:v>
                </c:pt>
                <c:pt idx="2">
                  <c:v>12</c:v>
                </c:pt>
                <c:pt idx="3">
                  <c:v>11</c:v>
                </c:pt>
              </c:numCache>
            </c:numRef>
          </c:val>
          <c:extLst>
            <c:ext xmlns:c16="http://schemas.microsoft.com/office/drawing/2014/chart" uri="{C3380CC4-5D6E-409C-BE32-E72D297353CC}">
              <c16:uniqueId val="{00000000-1571-4ABF-AF1C-512CE7AB886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 tracker.xlsx]Recruitment_dashboard!PivotTable3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latin typeface="Calibri" panose="020F0502020204030204" pitchFamily="34" charset="0"/>
                <a:ea typeface="Calibri" panose="020F0502020204030204" pitchFamily="34" charset="0"/>
                <a:cs typeface="Calibri" panose="020F0502020204030204" pitchFamily="34" charset="0"/>
              </a:rPr>
              <a:t>Average Hiring Velocity by Job Role (Days)</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2641875605753"/>
          <c:y val="0.12155608814481211"/>
          <c:w val="0.88372970378967319"/>
          <c:h val="0.48744672506449283"/>
        </c:manualLayout>
      </c:layout>
      <c:barChart>
        <c:barDir val="col"/>
        <c:grouping val="clustered"/>
        <c:varyColors val="0"/>
        <c:ser>
          <c:idx val="0"/>
          <c:order val="0"/>
          <c:tx>
            <c:strRef>
              <c:f>Recruitment_dashboard!$H$38</c:f>
              <c:strCache>
                <c:ptCount val="1"/>
                <c:pt idx="0">
                  <c:v>Total</c:v>
                </c:pt>
              </c:strCache>
            </c:strRef>
          </c:tx>
          <c:spPr>
            <a:solidFill>
              <a:schemeClr val="accent1"/>
            </a:solidFill>
            <a:ln>
              <a:noFill/>
            </a:ln>
            <a:effectLst/>
          </c:spPr>
          <c:invertIfNegative val="0"/>
          <c:cat>
            <c:strRef>
              <c:f>Recruitment_dashboard!$G$39:$G$85</c:f>
              <c:strCache>
                <c:ptCount val="46"/>
                <c:pt idx="0">
                  <c:v>Account Manager</c:v>
                </c:pt>
                <c:pt idx="1">
                  <c:v>Backend Dev</c:v>
                </c:pt>
                <c:pt idx="2">
                  <c:v>BI Developer</c:v>
                </c:pt>
                <c:pt idx="3">
                  <c:v>Business Analyst</c:v>
                </c:pt>
                <c:pt idx="4">
                  <c:v>Cloud Architect</c:v>
                </c:pt>
                <c:pt idx="5">
                  <c:v>Content Writer</c:v>
                </c:pt>
                <c:pt idx="6">
                  <c:v>Copywriter</c:v>
                </c:pt>
                <c:pt idx="7">
                  <c:v>Customer Success</c:v>
                </c:pt>
                <c:pt idx="8">
                  <c:v>Data Analyst</c:v>
                </c:pt>
                <c:pt idx="9">
                  <c:v>Data Engineer</c:v>
                </c:pt>
                <c:pt idx="10">
                  <c:v>Data Scientist</c:v>
                </c:pt>
                <c:pt idx="11">
                  <c:v>DevOps Engineer</c:v>
                </c:pt>
                <c:pt idx="12">
                  <c:v>Event Planner</c:v>
                </c:pt>
                <c:pt idx="13">
                  <c:v>Finance Analyst</c:v>
                </c:pt>
                <c:pt idx="14">
                  <c:v>Frontend Dev</c:v>
                </c:pt>
                <c:pt idx="15">
                  <c:v>Graphic Designer</c:v>
                </c:pt>
                <c:pt idx="16">
                  <c:v>HR Director</c:v>
                </c:pt>
                <c:pt idx="17">
                  <c:v>HR Generalist</c:v>
                </c:pt>
                <c:pt idx="18">
                  <c:v>HR Specialist</c:v>
                </c:pt>
                <c:pt idx="19">
                  <c:v>IT Support</c:v>
                </c:pt>
                <c:pt idx="20">
                  <c:v>Java Developer</c:v>
                </c:pt>
                <c:pt idx="21">
                  <c:v>Legal Counsel</c:v>
                </c:pt>
                <c:pt idx="22">
                  <c:v>Logistics Coord</c:v>
                </c:pt>
                <c:pt idx="23">
                  <c:v>Marketing Lead</c:v>
                </c:pt>
                <c:pt idx="24">
                  <c:v>Office Manager</c:v>
                </c:pt>
                <c:pt idx="25">
                  <c:v>Payroll Admin</c:v>
                </c:pt>
                <c:pt idx="26">
                  <c:v>PR Manager</c:v>
                </c:pt>
                <c:pt idx="27">
                  <c:v>Product Analyst</c:v>
                </c:pt>
                <c:pt idx="28">
                  <c:v>Product Designer</c:v>
                </c:pt>
                <c:pt idx="29">
                  <c:v>Product Manager</c:v>
                </c:pt>
                <c:pt idx="30">
                  <c:v>Project Manager</c:v>
                </c:pt>
                <c:pt idx="31">
                  <c:v>Python Developer</c:v>
                </c:pt>
                <c:pt idx="32">
                  <c:v>QA Engineer</c:v>
                </c:pt>
                <c:pt idx="33">
                  <c:v>Recruiter</c:v>
                </c:pt>
                <c:pt idx="34">
                  <c:v>Sales Executive</c:v>
                </c:pt>
                <c:pt idx="35">
                  <c:v>Sales Manager</c:v>
                </c:pt>
                <c:pt idx="36">
                  <c:v>Sales Rep</c:v>
                </c:pt>
                <c:pt idx="37">
                  <c:v>Sales VP</c:v>
                </c:pt>
                <c:pt idx="38">
                  <c:v>Security Expert</c:v>
                </c:pt>
                <c:pt idx="39">
                  <c:v>SEO Specialist</c:v>
                </c:pt>
                <c:pt idx="40">
                  <c:v>Social Media Mgr</c:v>
                </c:pt>
                <c:pt idx="41">
                  <c:v>Software Engineer</c:v>
                </c:pt>
                <c:pt idx="42">
                  <c:v>Systems Admin</c:v>
                </c:pt>
                <c:pt idx="43">
                  <c:v>Talent Acquisition</c:v>
                </c:pt>
                <c:pt idx="44">
                  <c:v>UX Designer</c:v>
                </c:pt>
                <c:pt idx="45">
                  <c:v>UX Researcher</c:v>
                </c:pt>
              </c:strCache>
            </c:strRef>
          </c:cat>
          <c:val>
            <c:numRef>
              <c:f>Recruitment_dashboard!$H$39:$H$85</c:f>
              <c:numCache>
                <c:formatCode>General</c:formatCode>
                <c:ptCount val="46"/>
                <c:pt idx="1">
                  <c:v>17</c:v>
                </c:pt>
                <c:pt idx="4">
                  <c:v>14</c:v>
                </c:pt>
                <c:pt idx="10">
                  <c:v>13</c:v>
                </c:pt>
                <c:pt idx="11">
                  <c:v>8</c:v>
                </c:pt>
                <c:pt idx="13">
                  <c:v>6</c:v>
                </c:pt>
                <c:pt idx="16">
                  <c:v>4</c:v>
                </c:pt>
                <c:pt idx="18">
                  <c:v>13</c:v>
                </c:pt>
                <c:pt idx="21">
                  <c:v>0</c:v>
                </c:pt>
                <c:pt idx="26">
                  <c:v>9</c:v>
                </c:pt>
                <c:pt idx="27">
                  <c:v>15</c:v>
                </c:pt>
                <c:pt idx="32">
                  <c:v>10</c:v>
                </c:pt>
                <c:pt idx="38">
                  <c:v>2</c:v>
                </c:pt>
                <c:pt idx="41">
                  <c:v>11</c:v>
                </c:pt>
                <c:pt idx="44">
                  <c:v>14</c:v>
                </c:pt>
              </c:numCache>
            </c:numRef>
          </c:val>
          <c:extLst>
            <c:ext xmlns:c16="http://schemas.microsoft.com/office/drawing/2014/chart" uri="{C3380CC4-5D6E-409C-BE32-E72D297353CC}">
              <c16:uniqueId val="{00000000-8D04-4828-9DD3-B0FBA9AFA600}"/>
            </c:ext>
          </c:extLst>
        </c:ser>
        <c:dLbls>
          <c:showLegendKey val="0"/>
          <c:showVal val="0"/>
          <c:showCatName val="0"/>
          <c:showSerName val="0"/>
          <c:showPercent val="0"/>
          <c:showBubbleSize val="0"/>
        </c:dLbls>
        <c:gapWidth val="219"/>
        <c:overlap val="-27"/>
        <c:axId val="551399727"/>
        <c:axId val="542693487"/>
      </c:barChart>
      <c:catAx>
        <c:axId val="55139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693487"/>
        <c:crosses val="autoZero"/>
        <c:auto val="1"/>
        <c:lblAlgn val="ctr"/>
        <c:lblOffset val="100"/>
        <c:noMultiLvlLbl val="0"/>
      </c:catAx>
      <c:valAx>
        <c:axId val="54269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3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121920</xdr:colOff>
      <xdr:row>9</xdr:row>
      <xdr:rowOff>91440</xdr:rowOff>
    </xdr:from>
    <xdr:to>
      <xdr:col>8</xdr:col>
      <xdr:colOff>393215</xdr:colOff>
      <xdr:row>27</xdr:row>
      <xdr:rowOff>129540</xdr:rowOff>
    </xdr:to>
    <xdr:graphicFrame macro="">
      <xdr:nvGraphicFramePr>
        <xdr:cNvPr id="2" name="Chart 1">
          <a:extLst>
            <a:ext uri="{FF2B5EF4-FFF2-40B4-BE49-F238E27FC236}">
              <a16:creationId xmlns:a16="http://schemas.microsoft.com/office/drawing/2014/main" id="{74DB2061-A1AB-BAE2-22AB-FEB001330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351424</xdr:colOff>
      <xdr:row>9</xdr:row>
      <xdr:rowOff>93946</xdr:rowOff>
    </xdr:from>
    <xdr:to>
      <xdr:col>14</xdr:col>
      <xdr:colOff>319151</xdr:colOff>
      <xdr:row>27</xdr:row>
      <xdr:rowOff>137159</xdr:rowOff>
    </xdr:to>
    <xdr:graphicFrame macro="">
      <xdr:nvGraphicFramePr>
        <xdr:cNvPr id="3" name="Chart 2">
          <a:extLst>
            <a:ext uri="{FF2B5EF4-FFF2-40B4-BE49-F238E27FC236}">
              <a16:creationId xmlns:a16="http://schemas.microsoft.com/office/drawing/2014/main" id="{E9B7258B-92DD-F6C7-C00E-D38C6688A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1066430</xdr:colOff>
      <xdr:row>9</xdr:row>
      <xdr:rowOff>90071</xdr:rowOff>
    </xdr:from>
    <xdr:to>
      <xdr:col>5</xdr:col>
      <xdr:colOff>160020</xdr:colOff>
      <xdr:row>27</xdr:row>
      <xdr:rowOff>121920</xdr:rowOff>
    </xdr:to>
    <xdr:graphicFrame macro="">
      <xdr:nvGraphicFramePr>
        <xdr:cNvPr id="4" name="Chart 3">
          <a:extLst>
            <a:ext uri="{FF2B5EF4-FFF2-40B4-BE49-F238E27FC236}">
              <a16:creationId xmlns:a16="http://schemas.microsoft.com/office/drawing/2014/main" id="{57F7FCDD-225C-9468-70C9-62B041B38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27665</xdr:colOff>
      <xdr:row>3</xdr:row>
      <xdr:rowOff>71849</xdr:rowOff>
    </xdr:from>
    <xdr:to>
      <xdr:col>4</xdr:col>
      <xdr:colOff>314562</xdr:colOff>
      <xdr:row>7</xdr:row>
      <xdr:rowOff>164371</xdr:rowOff>
    </xdr:to>
    <xdr:sp macro="" textlink="Candidate_sheet!L1">
      <xdr:nvSpPr>
        <xdr:cNvPr id="5" name="Rectangle: Rounded Corners 4">
          <a:extLst>
            <a:ext uri="{FF2B5EF4-FFF2-40B4-BE49-F238E27FC236}">
              <a16:creationId xmlns:a16="http://schemas.microsoft.com/office/drawing/2014/main" id="{552AABDC-5EB9-4D0A-75E0-A109DA4E8256}"/>
            </a:ext>
          </a:extLst>
        </xdr:cNvPr>
        <xdr:cNvSpPr/>
      </xdr:nvSpPr>
      <xdr:spPr>
        <a:xfrm>
          <a:off x="2885165" y="597629"/>
          <a:ext cx="1963297" cy="793562"/>
        </a:xfrm>
        <a:prstGeom prst="round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 Candidate</a:t>
          </a:r>
        </a:p>
        <a:p>
          <a:pPr algn="ctr"/>
          <a:fld id="{CF6F6212-C0F8-41B6-9501-40B7153BCB36}" type="TxLink">
            <a:rPr lang="en-US" sz="2800" b="1" i="0" u="none" strike="noStrike">
              <a:solidFill>
                <a:schemeClr val="bg1"/>
              </a:solidFill>
              <a:latin typeface="Calibri"/>
              <a:ea typeface="Calibri"/>
              <a:cs typeface="Calibri"/>
            </a:rPr>
            <a:pPr algn="ctr"/>
            <a:t>50</a:t>
          </a:fld>
          <a:endParaRPr lang="en-IN" sz="1600" b="1">
            <a:solidFill>
              <a:schemeClr val="bg1"/>
            </a:solidFill>
          </a:endParaRPr>
        </a:p>
      </xdr:txBody>
    </xdr:sp>
    <xdr:clientData/>
  </xdr:twoCellAnchor>
  <xdr:twoCellAnchor>
    <xdr:from>
      <xdr:col>5</xdr:col>
      <xdr:colOff>500106</xdr:colOff>
      <xdr:row>3</xdr:row>
      <xdr:rowOff>3269</xdr:rowOff>
    </xdr:from>
    <xdr:to>
      <xdr:col>7</xdr:col>
      <xdr:colOff>520302</xdr:colOff>
      <xdr:row>7</xdr:row>
      <xdr:rowOff>95791</xdr:rowOff>
    </xdr:to>
    <xdr:sp macro="" textlink="Candidate_sheet!L2">
      <xdr:nvSpPr>
        <xdr:cNvPr id="6" name="Rectangle: Rounded Corners 5">
          <a:extLst>
            <a:ext uri="{FF2B5EF4-FFF2-40B4-BE49-F238E27FC236}">
              <a16:creationId xmlns:a16="http://schemas.microsoft.com/office/drawing/2014/main" id="{79FD6AE4-67A3-4CED-9270-10DDE9D40833}"/>
            </a:ext>
          </a:extLst>
        </xdr:cNvPr>
        <xdr:cNvSpPr/>
      </xdr:nvSpPr>
      <xdr:spPr>
        <a:xfrm>
          <a:off x="6862806" y="529049"/>
          <a:ext cx="1963296" cy="793562"/>
        </a:xfrm>
        <a:prstGeom prst="round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a:t>
          </a:r>
          <a:r>
            <a:rPr lang="en-US" sz="1200" b="1" i="0" u="none" strike="noStrike" baseline="0">
              <a:solidFill>
                <a:schemeClr val="bg1"/>
              </a:solidFill>
              <a:latin typeface="Calibri"/>
              <a:ea typeface="Calibri"/>
              <a:cs typeface="Calibri"/>
            </a:rPr>
            <a:t> Hires</a:t>
          </a:r>
          <a:endParaRPr lang="en-US" sz="2800" b="1" i="0" u="none" strike="noStrike" baseline="0">
            <a:solidFill>
              <a:schemeClr val="bg1"/>
            </a:solidFill>
            <a:latin typeface="Calibri"/>
            <a:ea typeface="Calibri"/>
            <a:cs typeface="Calibri"/>
          </a:endParaRPr>
        </a:p>
        <a:p>
          <a:pPr algn="ctr"/>
          <a:fld id="{B80E85E4-1CE4-49E6-AB91-EE915612090A}" type="TxLink">
            <a:rPr lang="en-US" sz="2800" b="1" i="0" u="none" strike="noStrike">
              <a:solidFill>
                <a:schemeClr val="bg1"/>
              </a:solidFill>
              <a:latin typeface="Calibri"/>
              <a:ea typeface="Calibri"/>
              <a:cs typeface="Calibri"/>
            </a:rPr>
            <a:pPr algn="ctr"/>
            <a:t>10</a:t>
          </a:fld>
          <a:endParaRPr lang="en-IN" sz="1100" b="1">
            <a:solidFill>
              <a:schemeClr val="bg1"/>
            </a:solidFill>
          </a:endParaRPr>
        </a:p>
      </xdr:txBody>
    </xdr:sp>
    <xdr:clientData/>
  </xdr:twoCellAnchor>
  <xdr:twoCellAnchor>
    <xdr:from>
      <xdr:col>8</xdr:col>
      <xdr:colOff>655320</xdr:colOff>
      <xdr:row>2</xdr:row>
      <xdr:rowOff>148049</xdr:rowOff>
    </xdr:from>
    <xdr:to>
      <xdr:col>11</xdr:col>
      <xdr:colOff>609600</xdr:colOff>
      <xdr:row>7</xdr:row>
      <xdr:rowOff>65311</xdr:rowOff>
    </xdr:to>
    <xdr:sp macro="" textlink="Candidate_sheet!L3">
      <xdr:nvSpPr>
        <xdr:cNvPr id="7" name="Rectangle: Rounded Corners 6">
          <a:extLst>
            <a:ext uri="{FF2B5EF4-FFF2-40B4-BE49-F238E27FC236}">
              <a16:creationId xmlns:a16="http://schemas.microsoft.com/office/drawing/2014/main" id="{F7E7C1DA-6ED7-42FE-95D0-5ADD089F528C}"/>
            </a:ext>
          </a:extLst>
        </xdr:cNvPr>
        <xdr:cNvSpPr/>
      </xdr:nvSpPr>
      <xdr:spPr>
        <a:xfrm>
          <a:off x="10637520" y="498569"/>
          <a:ext cx="1965960" cy="793562"/>
        </a:xfrm>
        <a:prstGeom prst="round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AVG.</a:t>
          </a:r>
          <a:r>
            <a:rPr lang="en-US" sz="1200" b="1" i="0" u="none" strike="noStrike" baseline="0">
              <a:solidFill>
                <a:schemeClr val="bg1"/>
              </a:solidFill>
              <a:latin typeface="Calibri"/>
              <a:ea typeface="Calibri"/>
              <a:cs typeface="Calibri"/>
            </a:rPr>
            <a:t> Time to Hire</a:t>
          </a:r>
          <a:endParaRPr lang="en-US" sz="2800" b="1" i="0" u="none" strike="noStrike" baseline="0">
            <a:solidFill>
              <a:schemeClr val="bg1"/>
            </a:solidFill>
            <a:latin typeface="Calibri"/>
            <a:ea typeface="Calibri"/>
            <a:cs typeface="Calibri"/>
          </a:endParaRPr>
        </a:p>
        <a:p>
          <a:pPr algn="ctr"/>
          <a:fld id="{2C0CB171-7470-433A-A129-35209D430031}" type="TxLink">
            <a:rPr lang="en-US" sz="2800" b="1" i="0" u="none" strike="noStrike">
              <a:solidFill>
                <a:schemeClr val="bg1"/>
              </a:solidFill>
              <a:latin typeface="Calibri"/>
              <a:ea typeface="Calibri"/>
              <a:cs typeface="Calibri"/>
            </a:rPr>
            <a:pPr algn="ctr"/>
            <a:t>9.7</a:t>
          </a:fld>
          <a:endParaRPr lang="en-IN" sz="1100" b="1">
            <a:solidFill>
              <a:schemeClr val="bg1"/>
            </a:solidFill>
          </a:endParaRPr>
        </a:p>
      </xdr:txBody>
    </xdr:sp>
    <xdr:clientData/>
  </xdr:twoCellAnchor>
  <xdr:twoCellAnchor editAs="oneCell">
    <xdr:from>
      <xdr:col>0</xdr:col>
      <xdr:colOff>129244</xdr:colOff>
      <xdr:row>17</xdr:row>
      <xdr:rowOff>54672</xdr:rowOff>
    </xdr:from>
    <xdr:to>
      <xdr:col>1</xdr:col>
      <xdr:colOff>954349</xdr:colOff>
      <xdr:row>31</xdr:row>
      <xdr:rowOff>64900</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162D1D87-1921-B216-CD10-C12E07D2A94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9244" y="3034092"/>
              <a:ext cx="1823325" cy="2463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120736</xdr:colOff>
      <xdr:row>2</xdr:row>
      <xdr:rowOff>159807</xdr:rowOff>
    </xdr:from>
    <xdr:to>
      <xdr:col>1</xdr:col>
      <xdr:colOff>954423</xdr:colOff>
      <xdr:row>16</xdr:row>
      <xdr:rowOff>170036</xdr:rowOff>
    </xdr:to>
    <mc:AlternateContent xmlns:mc="http://schemas.openxmlformats.org/markup-compatibility/2006" xmlns:a14="http://schemas.microsoft.com/office/drawing/2010/main">
      <mc:Choice Requires="a14">
        <xdr:graphicFrame macro="">
          <xdr:nvGraphicFramePr>
            <xdr:cNvPr id="9" name="Hiring Manager">
              <a:extLst>
                <a:ext uri="{FF2B5EF4-FFF2-40B4-BE49-F238E27FC236}">
                  <a16:creationId xmlns:a16="http://schemas.microsoft.com/office/drawing/2014/main" id="{BFC1793B-A57B-0DDC-085A-61897B9F9849}"/>
                </a:ext>
              </a:extLst>
            </xdr:cNvPr>
            <xdr:cNvGraphicFramePr/>
          </xdr:nvGraphicFramePr>
          <xdr:xfrm>
            <a:off x="0" y="0"/>
            <a:ext cx="0" cy="0"/>
          </xdr:xfrm>
          <a:graphic>
            <a:graphicData uri="http://schemas.microsoft.com/office/drawing/2010/slicer">
              <sle:slicer xmlns:sle="http://schemas.microsoft.com/office/drawing/2010/slicer" name="Hiring Manager"/>
            </a:graphicData>
          </a:graphic>
        </xdr:graphicFrame>
      </mc:Choice>
      <mc:Fallback xmlns="">
        <xdr:sp macro="" textlink="">
          <xdr:nvSpPr>
            <xdr:cNvPr id="0" name=""/>
            <xdr:cNvSpPr>
              <a:spLocks noTextEdit="1"/>
            </xdr:cNvSpPr>
          </xdr:nvSpPr>
          <xdr:spPr>
            <a:xfrm>
              <a:off x="120736" y="510327"/>
              <a:ext cx="1831907" cy="2463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274320</xdr:colOff>
      <xdr:row>29</xdr:row>
      <xdr:rowOff>53340</xdr:rowOff>
    </xdr:from>
    <xdr:to>
      <xdr:col>11</xdr:col>
      <xdr:colOff>137160</xdr:colOff>
      <xdr:row>33</xdr:row>
      <xdr:rowOff>114300</xdr:rowOff>
    </xdr:to>
    <xdr:sp macro="" textlink="">
      <xdr:nvSpPr>
        <xdr:cNvPr id="11" name="Rectangle: Rounded Corners 10">
          <a:extLst>
            <a:ext uri="{FF2B5EF4-FFF2-40B4-BE49-F238E27FC236}">
              <a16:creationId xmlns:a16="http://schemas.microsoft.com/office/drawing/2014/main" id="{2EB48D9B-5814-8DD8-D9D1-C5859990C48D}"/>
            </a:ext>
          </a:extLst>
        </xdr:cNvPr>
        <xdr:cNvSpPr/>
      </xdr:nvSpPr>
      <xdr:spPr>
        <a:xfrm>
          <a:off x="3063240" y="5135880"/>
          <a:ext cx="8884920" cy="7620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1600" b="1"/>
            <a:t>Insight 1:</a:t>
          </a:r>
          <a:r>
            <a:rPr lang="en-IN" sz="1600"/>
            <a:t> LinkedIn is our most effective channel, providing 30% of our total applicants.</a:t>
          </a:r>
        </a:p>
        <a:p>
          <a:pPr algn="l"/>
          <a:r>
            <a:rPr lang="en-IN" sz="1600" b="1"/>
            <a:t>Insight 2:</a:t>
          </a:r>
          <a:r>
            <a:rPr lang="en-IN" sz="1600"/>
            <a:t> Hiring velocity is highest for IT roles, with an average of 9.7 days to close.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I SUDHA KUMAR" refreshedDate="46048.474373032404" createdVersion="8" refreshedVersion="8" minRefreshableVersion="3" recordCount="50" xr:uid="{2F014D3D-6013-4D08-9A30-7F633509EEA3}">
  <cacheSource type="worksheet">
    <worksheetSource name="Table1"/>
  </cacheSource>
  <cacheFields count="10">
    <cacheField name="Candidate Name" numFmtId="0">
      <sharedItems/>
    </cacheField>
    <cacheField name="Job Title" numFmtId="0">
      <sharedItems count="46">
        <s v="Software Engineer"/>
        <s v="HR Specialist"/>
        <s v="Data Analyst"/>
        <s v="Sales Executive"/>
        <s v="Product Manager"/>
        <s v="UX Designer"/>
        <s v="Backend Dev"/>
        <s v="Marketing Lead"/>
        <s v="Customer Success"/>
        <s v="Data Scientist"/>
        <s v="HR Generalist"/>
        <s v="Sales Manager"/>
        <s v="UX Researcher"/>
        <s v="Frontend Dev"/>
        <s v="Product Analyst"/>
        <s v="Content Writer"/>
        <s v="SEO Specialist"/>
        <s v="Cloud Architect"/>
        <s v="Account Manager"/>
        <s v="QA Engineer"/>
        <s v="Python Developer"/>
        <s v="Talent Acquisition"/>
        <s v="Sales Rep"/>
        <s v="Graphic Designer"/>
        <s v="Systems Admin"/>
        <s v="PR Manager"/>
        <s v="Business Analyst"/>
        <s v="Recruiter"/>
        <s v="DevOps Engineer"/>
        <s v="Data Engineer"/>
        <s v="Copywriter"/>
        <s v="Finance Analyst"/>
        <s v="IT Support"/>
        <s v="Office Manager"/>
        <s v="HR Director"/>
        <s v="Sales VP"/>
        <s v="Product Designer"/>
        <s v="Java Developer"/>
        <s v="Social Media Mgr"/>
        <s v="Security Expert"/>
        <s v="Logistics Coord"/>
        <s v="BI Developer"/>
        <s v="Legal Counsel"/>
        <s v="Project Manager"/>
        <s v="Payroll Admin"/>
        <s v="Event Planner"/>
      </sharedItems>
    </cacheField>
    <cacheField name="Department" numFmtId="0">
      <sharedItems count="10">
        <s v="IT"/>
        <s v="HR"/>
        <s v="Sales"/>
        <s v="Product"/>
        <s v="Design"/>
        <s v="Marketing"/>
        <s v="Ops"/>
        <s v="Finance"/>
        <s v="Admin"/>
        <s v="Legal"/>
      </sharedItems>
    </cacheField>
    <cacheField name="Source" numFmtId="0">
      <sharedItems count="4">
        <s v="LinkedIn"/>
        <s v="Referral"/>
        <s v="Indeed"/>
        <s v="Website"/>
      </sharedItems>
    </cacheField>
    <cacheField name="App Date" numFmtId="14">
      <sharedItems containsSemiMixedTypes="0" containsNonDate="0" containsDate="1" containsString="0" minDate="2026-01-01T00:00:00" maxDate="2026-01-26T00:00:00"/>
    </cacheField>
    <cacheField name="Current Status" numFmtId="0">
      <sharedItems count="8">
        <s v="Hired"/>
        <s v="Technical Test"/>
        <s v="Rejected"/>
        <s v="Interviewing"/>
        <s v="Offer Extended"/>
        <s v="Withdrawn"/>
        <s v="Screening"/>
        <s v="New"/>
      </sharedItems>
    </cacheField>
    <cacheField name="Days in Pipeline" numFmtId="0">
      <sharedItems containsSemiMixedTypes="0" containsString="0" containsNumber="1" containsInteger="1" minValue="1" maxValue="25"/>
    </cacheField>
    <cacheField name="Offer Date" numFmtId="0">
      <sharedItems containsNonDate="0" containsDate="1" containsString="0" containsBlank="1" minDate="2026-01-12T00:00:00" maxDate="2026-01-26T00:00:00"/>
    </cacheField>
    <cacheField name="Time to Hire" numFmtId="0">
      <sharedItems containsMixedTypes="1" containsNumber="1" containsInteger="1" minValue="0" maxValue="17"/>
    </cacheField>
    <cacheField name="Hiring Manager" numFmtId="0">
      <sharedItems count="4">
        <s v="Sarah J."/>
        <s v="David W."/>
        <s v="Mike R."/>
        <s v="Emily B."/>
      </sharedItems>
    </cacheField>
  </cacheFields>
  <extLst>
    <ext xmlns:x14="http://schemas.microsoft.com/office/spreadsheetml/2009/9/main" uri="{725AE2AE-9491-48be-B2B4-4EB974FC3084}">
      <x14:pivotCacheDefinition pivotCacheId="201764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Aarav Sharma"/>
    <x v="0"/>
    <x v="0"/>
    <x v="0"/>
    <d v="2026-01-01T00:00:00"/>
    <x v="0"/>
    <n v="25"/>
    <d v="2026-01-12T00:00:00"/>
    <n v="11"/>
    <x v="0"/>
  </r>
  <r>
    <s v="Aditi Rao"/>
    <x v="1"/>
    <x v="1"/>
    <x v="1"/>
    <d v="2026-01-02T00:00:00"/>
    <x v="0"/>
    <n v="24"/>
    <d v="2026-01-15T00:00:00"/>
    <n v="13"/>
    <x v="1"/>
  </r>
  <r>
    <s v="Arjun Varma"/>
    <x v="2"/>
    <x v="0"/>
    <x v="2"/>
    <d v="2026-01-02T00:00:00"/>
    <x v="1"/>
    <n v="24"/>
    <m/>
    <s v=""/>
    <x v="2"/>
  </r>
  <r>
    <s v="Bhuvan K."/>
    <x v="3"/>
    <x v="2"/>
    <x v="3"/>
    <d v="2026-01-03T00:00:00"/>
    <x v="2"/>
    <n v="23"/>
    <m/>
    <s v=""/>
    <x v="3"/>
  </r>
  <r>
    <s v="Chitra Nair"/>
    <x v="4"/>
    <x v="3"/>
    <x v="0"/>
    <d v="2026-01-04T00:00:00"/>
    <x v="3"/>
    <n v="22"/>
    <m/>
    <s v=""/>
    <x v="2"/>
  </r>
  <r>
    <s v="Deepa Singh"/>
    <x v="5"/>
    <x v="4"/>
    <x v="2"/>
    <d v="2026-01-04T00:00:00"/>
    <x v="0"/>
    <n v="22"/>
    <d v="2026-01-18T00:00:00"/>
    <n v="14"/>
    <x v="0"/>
  </r>
  <r>
    <s v="Esha Gupta"/>
    <x v="6"/>
    <x v="0"/>
    <x v="1"/>
    <d v="2026-01-05T00:00:00"/>
    <x v="4"/>
    <n v="21"/>
    <d v="2026-01-22T00:00:00"/>
    <n v="17"/>
    <x v="0"/>
  </r>
  <r>
    <s v="Farhan Ali"/>
    <x v="7"/>
    <x v="5"/>
    <x v="0"/>
    <d v="2026-01-05T00:00:00"/>
    <x v="5"/>
    <n v="21"/>
    <m/>
    <s v=""/>
    <x v="3"/>
  </r>
  <r>
    <s v="Ganesh P."/>
    <x v="8"/>
    <x v="6"/>
    <x v="3"/>
    <d v="2026-01-06T00:00:00"/>
    <x v="6"/>
    <n v="20"/>
    <m/>
    <s v=""/>
    <x v="1"/>
  </r>
  <r>
    <s v="Hina Khan"/>
    <x v="0"/>
    <x v="0"/>
    <x v="0"/>
    <d v="2026-01-06T00:00:00"/>
    <x v="3"/>
    <n v="20"/>
    <m/>
    <s v=""/>
    <x v="0"/>
  </r>
  <r>
    <s v="Ishan Roy"/>
    <x v="9"/>
    <x v="0"/>
    <x v="2"/>
    <d v="2026-01-07T00:00:00"/>
    <x v="0"/>
    <n v="19"/>
    <d v="2026-01-20T00:00:00"/>
    <n v="13"/>
    <x v="2"/>
  </r>
  <r>
    <s v="Jiya M."/>
    <x v="10"/>
    <x v="1"/>
    <x v="1"/>
    <d v="2026-01-07T00:00:00"/>
    <x v="2"/>
    <n v="19"/>
    <m/>
    <s v=""/>
    <x v="1"/>
  </r>
  <r>
    <s v="Kabir Seth"/>
    <x v="11"/>
    <x v="2"/>
    <x v="0"/>
    <d v="2026-01-08T00:00:00"/>
    <x v="3"/>
    <n v="18"/>
    <m/>
    <s v=""/>
    <x v="3"/>
  </r>
  <r>
    <s v="Laxmi D."/>
    <x v="12"/>
    <x v="4"/>
    <x v="3"/>
    <d v="2026-01-08T00:00:00"/>
    <x v="7"/>
    <n v="18"/>
    <m/>
    <s v=""/>
    <x v="0"/>
  </r>
  <r>
    <s v="Mani Kant"/>
    <x v="13"/>
    <x v="0"/>
    <x v="2"/>
    <d v="2026-01-09T00:00:00"/>
    <x v="1"/>
    <n v="17"/>
    <m/>
    <s v=""/>
    <x v="0"/>
  </r>
  <r>
    <s v="Nupur S."/>
    <x v="14"/>
    <x v="3"/>
    <x v="0"/>
    <d v="2026-01-09T00:00:00"/>
    <x v="0"/>
    <n v="17"/>
    <d v="2026-01-24T00:00:00"/>
    <n v="15"/>
    <x v="2"/>
  </r>
  <r>
    <s v="Omkar T."/>
    <x v="15"/>
    <x v="5"/>
    <x v="1"/>
    <d v="2026-01-10T00:00:00"/>
    <x v="6"/>
    <n v="16"/>
    <m/>
    <s v=""/>
    <x v="3"/>
  </r>
  <r>
    <s v="Pooja B."/>
    <x v="16"/>
    <x v="5"/>
    <x v="3"/>
    <d v="2026-01-10T00:00:00"/>
    <x v="2"/>
    <n v="16"/>
    <m/>
    <s v=""/>
    <x v="3"/>
  </r>
  <r>
    <s v="Qasim R."/>
    <x v="17"/>
    <x v="0"/>
    <x v="0"/>
    <d v="2026-01-11T00:00:00"/>
    <x v="4"/>
    <n v="15"/>
    <d v="2026-01-25T00:00:00"/>
    <n v="14"/>
    <x v="2"/>
  </r>
  <r>
    <s v="Rahul J."/>
    <x v="18"/>
    <x v="2"/>
    <x v="2"/>
    <d v="2026-01-11T00:00:00"/>
    <x v="3"/>
    <n v="15"/>
    <m/>
    <s v=""/>
    <x v="3"/>
  </r>
  <r>
    <s v="Sneha W."/>
    <x v="19"/>
    <x v="0"/>
    <x v="1"/>
    <d v="2026-01-12T00:00:00"/>
    <x v="0"/>
    <n v="14"/>
    <d v="2026-01-22T00:00:00"/>
    <n v="10"/>
    <x v="0"/>
  </r>
  <r>
    <s v="Tanmay G."/>
    <x v="2"/>
    <x v="0"/>
    <x v="3"/>
    <d v="2026-01-12T00:00:00"/>
    <x v="7"/>
    <n v="14"/>
    <m/>
    <s v=""/>
    <x v="2"/>
  </r>
  <r>
    <s v="Utkarsh P."/>
    <x v="20"/>
    <x v="0"/>
    <x v="0"/>
    <d v="2026-01-13T00:00:00"/>
    <x v="1"/>
    <n v="13"/>
    <m/>
    <s v=""/>
    <x v="2"/>
  </r>
  <r>
    <s v="Vidya C."/>
    <x v="21"/>
    <x v="1"/>
    <x v="1"/>
    <d v="2026-01-13T00:00:00"/>
    <x v="3"/>
    <n v="13"/>
    <m/>
    <s v=""/>
    <x v="1"/>
  </r>
  <r>
    <s v="Wasim A."/>
    <x v="22"/>
    <x v="2"/>
    <x v="2"/>
    <d v="2026-01-14T00:00:00"/>
    <x v="2"/>
    <n v="12"/>
    <m/>
    <s v=""/>
    <x v="3"/>
  </r>
  <r>
    <s v="Xena L."/>
    <x v="23"/>
    <x v="4"/>
    <x v="3"/>
    <d v="2026-01-14T00:00:00"/>
    <x v="7"/>
    <n v="12"/>
    <m/>
    <s v=""/>
    <x v="0"/>
  </r>
  <r>
    <s v="Yash R."/>
    <x v="24"/>
    <x v="0"/>
    <x v="0"/>
    <d v="2026-01-15T00:00:00"/>
    <x v="6"/>
    <n v="11"/>
    <m/>
    <s v=""/>
    <x v="0"/>
  </r>
  <r>
    <s v="Zoya S."/>
    <x v="25"/>
    <x v="5"/>
    <x v="1"/>
    <d v="2026-01-15T00:00:00"/>
    <x v="0"/>
    <n v="11"/>
    <d v="2026-01-24T00:00:00"/>
    <n v="9"/>
    <x v="3"/>
  </r>
  <r>
    <s v="Amit D."/>
    <x v="26"/>
    <x v="3"/>
    <x v="2"/>
    <d v="2026-01-16T00:00:00"/>
    <x v="3"/>
    <n v="10"/>
    <m/>
    <s v=""/>
    <x v="2"/>
  </r>
  <r>
    <s v="Bhavna K."/>
    <x v="27"/>
    <x v="1"/>
    <x v="0"/>
    <d v="2026-01-16T00:00:00"/>
    <x v="2"/>
    <n v="10"/>
    <m/>
    <s v=""/>
    <x v="1"/>
  </r>
  <r>
    <s v="Chetan M."/>
    <x v="28"/>
    <x v="0"/>
    <x v="1"/>
    <d v="2026-01-17T00:00:00"/>
    <x v="0"/>
    <n v="9"/>
    <d v="2026-01-25T00:00:00"/>
    <n v="8"/>
    <x v="0"/>
  </r>
  <r>
    <s v="Divya N."/>
    <x v="3"/>
    <x v="2"/>
    <x v="3"/>
    <d v="2026-01-17T00:00:00"/>
    <x v="7"/>
    <n v="9"/>
    <m/>
    <s v=""/>
    <x v="3"/>
  </r>
  <r>
    <s v="Ehsan H."/>
    <x v="29"/>
    <x v="0"/>
    <x v="2"/>
    <d v="2026-01-18T00:00:00"/>
    <x v="1"/>
    <n v="8"/>
    <m/>
    <s v=""/>
    <x v="2"/>
  </r>
  <r>
    <s v="Falguni S."/>
    <x v="30"/>
    <x v="5"/>
    <x v="0"/>
    <d v="2026-01-18T00:00:00"/>
    <x v="6"/>
    <n v="8"/>
    <m/>
    <s v=""/>
    <x v="3"/>
  </r>
  <r>
    <s v="Girish V."/>
    <x v="31"/>
    <x v="7"/>
    <x v="1"/>
    <d v="2026-01-19T00:00:00"/>
    <x v="4"/>
    <n v="7"/>
    <d v="2026-01-25T00:00:00"/>
    <n v="6"/>
    <x v="1"/>
  </r>
  <r>
    <s v="Hemant L."/>
    <x v="32"/>
    <x v="0"/>
    <x v="3"/>
    <d v="2026-01-19T00:00:00"/>
    <x v="2"/>
    <n v="7"/>
    <m/>
    <s v=""/>
    <x v="0"/>
  </r>
  <r>
    <s v="Indu P."/>
    <x v="33"/>
    <x v="8"/>
    <x v="0"/>
    <d v="2026-01-20T00:00:00"/>
    <x v="7"/>
    <n v="6"/>
    <m/>
    <s v=""/>
    <x v="1"/>
  </r>
  <r>
    <s v="Jayesh B."/>
    <x v="0"/>
    <x v="0"/>
    <x v="2"/>
    <d v="2026-01-20T00:00:00"/>
    <x v="3"/>
    <n v="6"/>
    <m/>
    <s v=""/>
    <x v="0"/>
  </r>
  <r>
    <s v="Kavita R."/>
    <x v="34"/>
    <x v="1"/>
    <x v="1"/>
    <d v="2026-01-21T00:00:00"/>
    <x v="0"/>
    <n v="5"/>
    <d v="2026-01-25T00:00:00"/>
    <n v="4"/>
    <x v="1"/>
  </r>
  <r>
    <s v="Lokesh T."/>
    <x v="35"/>
    <x v="2"/>
    <x v="0"/>
    <d v="2026-01-21T00:00:00"/>
    <x v="2"/>
    <n v="5"/>
    <m/>
    <s v=""/>
    <x v="3"/>
  </r>
  <r>
    <s v="Megha G."/>
    <x v="36"/>
    <x v="4"/>
    <x v="3"/>
    <d v="2026-01-22T00:00:00"/>
    <x v="7"/>
    <n v="4"/>
    <m/>
    <s v=""/>
    <x v="0"/>
  </r>
  <r>
    <s v="Nitin S."/>
    <x v="37"/>
    <x v="0"/>
    <x v="2"/>
    <d v="2026-01-22T00:00:00"/>
    <x v="1"/>
    <n v="4"/>
    <m/>
    <s v=""/>
    <x v="2"/>
  </r>
  <r>
    <s v="Olivia D."/>
    <x v="38"/>
    <x v="5"/>
    <x v="1"/>
    <d v="2026-01-23T00:00:00"/>
    <x v="6"/>
    <n v="3"/>
    <m/>
    <s v=""/>
    <x v="3"/>
  </r>
  <r>
    <s v="Pankaj K."/>
    <x v="39"/>
    <x v="0"/>
    <x v="0"/>
    <d v="2026-01-23T00:00:00"/>
    <x v="4"/>
    <n v="3"/>
    <d v="2026-01-25T00:00:00"/>
    <n v="2"/>
    <x v="0"/>
  </r>
  <r>
    <s v="Ritu V."/>
    <x v="40"/>
    <x v="6"/>
    <x v="3"/>
    <d v="2026-01-24T00:00:00"/>
    <x v="7"/>
    <n v="2"/>
    <m/>
    <s v=""/>
    <x v="1"/>
  </r>
  <r>
    <s v="Sameer A."/>
    <x v="41"/>
    <x v="0"/>
    <x v="2"/>
    <d v="2026-01-24T00:00:00"/>
    <x v="3"/>
    <n v="2"/>
    <m/>
    <s v=""/>
    <x v="2"/>
  </r>
  <r>
    <s v="Tara S."/>
    <x v="42"/>
    <x v="9"/>
    <x v="1"/>
    <d v="2026-01-25T00:00:00"/>
    <x v="0"/>
    <n v="1"/>
    <d v="2026-01-25T00:00:00"/>
    <n v="0"/>
    <x v="1"/>
  </r>
  <r>
    <s v="Uday M."/>
    <x v="43"/>
    <x v="3"/>
    <x v="0"/>
    <d v="2026-01-25T00:00:00"/>
    <x v="7"/>
    <n v="1"/>
    <m/>
    <s v=""/>
    <x v="2"/>
  </r>
  <r>
    <s v="Varun B."/>
    <x v="44"/>
    <x v="1"/>
    <x v="3"/>
    <d v="2026-01-25T00:00:00"/>
    <x v="6"/>
    <n v="1"/>
    <m/>
    <s v=""/>
    <x v="1"/>
  </r>
  <r>
    <s v="Wendy C."/>
    <x v="45"/>
    <x v="5"/>
    <x v="2"/>
    <d v="2026-01-25T00:00:00"/>
    <x v="2"/>
    <n v="1"/>
    <m/>
    <s v=""/>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A68A94-74EF-42E2-B885-09A799FA2C1B}" name="PivotTable3" cacheId="0"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chartFormat="3">
  <location ref="G38:H85" firstHeaderRow="1" firstDataRow="1" firstDataCol="1"/>
  <pivotFields count="10">
    <pivotField showAll="0"/>
    <pivotField axis="axisRow" showAll="0">
      <items count="47">
        <item x="18"/>
        <item x="6"/>
        <item x="41"/>
        <item x="26"/>
        <item x="17"/>
        <item x="15"/>
        <item x="30"/>
        <item x="8"/>
        <item x="2"/>
        <item x="29"/>
        <item x="9"/>
        <item x="28"/>
        <item x="45"/>
        <item x="31"/>
        <item x="13"/>
        <item x="23"/>
        <item x="34"/>
        <item x="10"/>
        <item x="1"/>
        <item x="32"/>
        <item x="37"/>
        <item x="42"/>
        <item x="40"/>
        <item x="7"/>
        <item x="33"/>
        <item x="44"/>
        <item x="25"/>
        <item x="14"/>
        <item x="36"/>
        <item x="4"/>
        <item x="43"/>
        <item x="20"/>
        <item x="19"/>
        <item x="27"/>
        <item x="3"/>
        <item x="11"/>
        <item x="22"/>
        <item x="35"/>
        <item x="39"/>
        <item x="16"/>
        <item x="38"/>
        <item x="0"/>
        <item x="24"/>
        <item x="21"/>
        <item x="5"/>
        <item x="12"/>
        <item t="default"/>
      </items>
    </pivotField>
    <pivotField showAll="0"/>
    <pivotField showAll="0"/>
    <pivotField numFmtId="14" showAll="0"/>
    <pivotField showAll="0"/>
    <pivotField showAll="0"/>
    <pivotField showAll="0"/>
    <pivotField dataField="1" showAll="0"/>
    <pivotField showAll="0">
      <items count="5">
        <item x="1"/>
        <item x="3"/>
        <item x="2"/>
        <item x="0"/>
        <item t="default"/>
      </items>
    </pivotField>
  </pivotFields>
  <rowFields count="1">
    <field x="1"/>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Average of Time to Hire" fld="8" subtotal="average" baseField="1"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7A6DB1-79DC-4C13-B1D7-9FB4331318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8:E43" firstHeaderRow="1" firstDataRow="1" firstDataCol="1"/>
  <pivotFields count="10">
    <pivotField dataField="1" showAll="0"/>
    <pivotField showAll="0"/>
    <pivotField showAll="0"/>
    <pivotField axis="axisRow" showAll="0">
      <items count="5">
        <item x="2"/>
        <item x="0"/>
        <item x="1"/>
        <item x="3"/>
        <item t="default"/>
      </items>
    </pivotField>
    <pivotField numFmtId="14" showAll="0"/>
    <pivotField showAll="0"/>
    <pivotField showAll="0"/>
    <pivotField showAll="0"/>
    <pivotField showAll="0"/>
    <pivotField showAll="0">
      <items count="5">
        <item x="1"/>
        <item x="3"/>
        <item x="2"/>
        <item x="0"/>
        <item t="default"/>
      </items>
    </pivotField>
  </pivotFields>
  <rowFields count="1">
    <field x="3"/>
  </rowFields>
  <rowItems count="5">
    <i>
      <x/>
    </i>
    <i>
      <x v="1"/>
    </i>
    <i>
      <x v="2"/>
    </i>
    <i>
      <x v="3"/>
    </i>
    <i t="grand">
      <x/>
    </i>
  </rowItems>
  <colItems count="1">
    <i/>
  </colItems>
  <dataFields count="1">
    <dataField name="Count of Candidate Name" fld="0" subtotal="count" baseField="0" baseItem="0"/>
  </dataFields>
  <formats count="6">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5E3B66-EB47-45AF-A6F1-865CD39175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B47" firstHeaderRow="1" firstDataRow="1" firstDataCol="1"/>
  <pivotFields count="10">
    <pivotField dataField="1" showAll="0"/>
    <pivotField showAll="0"/>
    <pivotField showAll="0">
      <items count="11">
        <item x="8"/>
        <item x="4"/>
        <item x="7"/>
        <item x="1"/>
        <item x="0"/>
        <item x="9"/>
        <item x="5"/>
        <item x="6"/>
        <item x="3"/>
        <item x="2"/>
        <item t="default"/>
      </items>
    </pivotField>
    <pivotField showAll="0"/>
    <pivotField numFmtId="14" showAll="0"/>
    <pivotField axis="axisRow" showAll="0">
      <items count="9">
        <item x="0"/>
        <item x="3"/>
        <item x="7"/>
        <item x="4"/>
        <item x="2"/>
        <item x="6"/>
        <item x="1"/>
        <item x="5"/>
        <item t="default"/>
      </items>
    </pivotField>
    <pivotField showAll="0"/>
    <pivotField showAll="0"/>
    <pivotField showAll="0"/>
    <pivotField showAll="0">
      <items count="5">
        <item x="1"/>
        <item x="3"/>
        <item x="2"/>
        <item x="0"/>
        <item t="default"/>
      </items>
    </pivotField>
  </pivotFields>
  <rowFields count="1">
    <field x="5"/>
  </rowFields>
  <rowItems count="9">
    <i>
      <x/>
    </i>
    <i>
      <x v="1"/>
    </i>
    <i>
      <x v="2"/>
    </i>
    <i>
      <x v="3"/>
    </i>
    <i>
      <x v="4"/>
    </i>
    <i>
      <x v="5"/>
    </i>
    <i>
      <x v="6"/>
    </i>
    <i>
      <x v="7"/>
    </i>
    <i t="grand">
      <x/>
    </i>
  </rowItems>
  <colItems count="1">
    <i/>
  </colItems>
  <dataFields count="1">
    <dataField name="Count of Candidate Name" fld="0" subtotal="count" baseField="0" baseItem="0"/>
  </dataFields>
  <formats count="6">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0"/>
        </references>
      </pivotArea>
    </format>
    <format dxfId="13">
      <pivotArea dataOnly="0" labelOnly="1" grandRow="1" outline="0" fieldPosition="0"/>
    </format>
    <format dxfId="12">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1C9231-F0A8-42BD-A2C0-5A966B5566ED}" sourceName="Department">
  <pivotTables>
    <pivotTable tabId="2" name="PivotTable1"/>
  </pivotTables>
  <data>
    <tabular pivotCacheId="201764075">
      <items count="10">
        <i x="8" s="1"/>
        <i x="4" s="1"/>
        <i x="7" s="1"/>
        <i x="1" s="1"/>
        <i x="0" s="1"/>
        <i x="9" s="1"/>
        <i x="5" s="1"/>
        <i x="6"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Manager" xr10:uid="{D9BCDED1-0DF6-45A9-8B46-E84B4D622CE4}" sourceName="Hiring Manager">
  <pivotTables>
    <pivotTable tabId="2" name="PivotTable1"/>
    <pivotTable tabId="2" name="PivotTable2"/>
    <pivotTable tabId="2" name="PivotTable3"/>
  </pivotTables>
  <data>
    <tabular pivotCacheId="201764075">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8682365-B65A-424D-9B34-99964401407A}" cache="Slicer_Department" caption="Department" rowHeight="234950"/>
  <slicer name="Hiring Manager" xr10:uid="{A9E3D0D6-1E0F-4157-BA29-21259D1DCE99}" cache="Slicer_Hiring_Manager" caption="Hiring Manag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D06EAD-7EFB-4031-B99C-6C2463CFA2DB}" name="Table1" displayName="Table1" ref="A1:I51" totalsRowShown="0" headerRowDxfId="30" dataDxfId="28" headerRowBorderDxfId="29" tableBorderDxfId="27" totalsRowBorderDxfId="26">
  <autoFilter ref="A1:I51" xr:uid="{56D06EAD-7EFB-4031-B99C-6C2463CFA2DB}"/>
  <tableColumns count="9">
    <tableColumn id="1" xr3:uid="{C34F42A1-F01F-457E-8320-FDD1D051D825}" name="Candidate Name" dataDxfId="25"/>
    <tableColumn id="2" xr3:uid="{55BF2581-FAD2-413F-848F-9772985E437D}" name="Job Title" dataDxfId="24"/>
    <tableColumn id="3" xr3:uid="{D8757CEC-E5BF-4F9A-85E7-2A866B7226E9}" name="Department" dataDxfId="23"/>
    <tableColumn id="4" xr3:uid="{C0013304-0774-4684-B5C0-AEF439FA4B15}" name="Source" dataDxfId="22"/>
    <tableColumn id="5" xr3:uid="{667F695B-6F61-49AB-A276-4885816F0B06}" name="App Date"/>
    <tableColumn id="6" xr3:uid="{DA2B805F-053F-4E5B-BE98-9B1F963ED107}" name="Current Status" dataDxfId="21"/>
    <tableColumn id="7" xr3:uid="{2C93C49A-F6F8-4D08-80A6-E9015EE9F409}" name="Offer Date" dataDxfId="20"/>
    <tableColumn id="10" xr3:uid="{79D7E1CF-CF3C-4143-A1C6-AE790FAE9541}" name="Time to Hire" dataDxfId="19">
      <calculatedColumnFormula>IF(Table1[[#This Row],[Offer Date]]="", "", Table1[[#This Row],[Offer Date]]-Table1[[#This Row],[App Date]])</calculatedColumnFormula>
    </tableColumn>
    <tableColumn id="8" xr3:uid="{85B6E7A8-CC9B-4359-9C84-344883E828A4}" name="Hiring Manager"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41A9-7CCC-41DD-9D0F-60D48C12097D}">
  <dimension ref="A1:L51"/>
  <sheetViews>
    <sheetView tabSelected="1" zoomScaleNormal="100" workbookViewId="0">
      <selection activeCell="J13" sqref="J13"/>
    </sheetView>
  </sheetViews>
  <sheetFormatPr defaultRowHeight="13.8" x14ac:dyDescent="0.25"/>
  <cols>
    <col min="1" max="1" width="17" style="5" customWidth="1"/>
    <col min="2" max="2" width="16.3984375" customWidth="1"/>
    <col min="3" max="3" width="13" customWidth="1"/>
    <col min="4" max="4" width="10.296875" customWidth="1"/>
    <col min="5" max="5" width="12.3984375" customWidth="1"/>
    <col min="6" max="6" width="17.796875" customWidth="1"/>
    <col min="7" max="7" width="13.59765625" customWidth="1"/>
    <col min="8" max="8" width="15.8984375" customWidth="1"/>
    <col min="9" max="9" width="16" customWidth="1"/>
    <col min="11" max="11" width="14.69921875" customWidth="1"/>
    <col min="12" max="12" width="8.796875" style="4"/>
  </cols>
  <sheetData>
    <row r="1" spans="1:12" s="4" customFormat="1" ht="14.4" thickBot="1" x14ac:dyDescent="0.3">
      <c r="A1" s="8" t="s">
        <v>0</v>
      </c>
      <c r="B1" s="9" t="s">
        <v>1</v>
      </c>
      <c r="C1" s="9" t="s">
        <v>2</v>
      </c>
      <c r="D1" s="9" t="s">
        <v>3</v>
      </c>
      <c r="E1" s="9" t="s">
        <v>4</v>
      </c>
      <c r="F1" s="9" t="s">
        <v>5</v>
      </c>
      <c r="G1" s="9" t="s">
        <v>6</v>
      </c>
      <c r="H1" s="10" t="s">
        <v>130</v>
      </c>
      <c r="I1" s="10" t="s">
        <v>7</v>
      </c>
      <c r="K1" s="17" t="s">
        <v>131</v>
      </c>
      <c r="L1" s="17">
        <f>COUNTA(Table1[Candidate Name])</f>
        <v>50</v>
      </c>
    </row>
    <row r="2" spans="1:12" ht="14.4" thickBot="1" x14ac:dyDescent="0.3">
      <c r="A2" s="6" t="s">
        <v>8</v>
      </c>
      <c r="B2" s="3" t="s">
        <v>9</v>
      </c>
      <c r="C2" s="3" t="s">
        <v>10</v>
      </c>
      <c r="D2" s="3" t="s">
        <v>11</v>
      </c>
      <c r="E2" s="2">
        <v>46023</v>
      </c>
      <c r="F2" s="3" t="s">
        <v>12</v>
      </c>
      <c r="G2" s="2">
        <v>46034</v>
      </c>
      <c r="H2" s="14">
        <f>IF(Table1[[#This Row],[Offer Date]]="", "", Table1[[#This Row],[Offer Date]]-Table1[[#This Row],[App Date]])</f>
        <v>11</v>
      </c>
      <c r="I2" s="7" t="s">
        <v>13</v>
      </c>
      <c r="K2" s="18" t="s">
        <v>132</v>
      </c>
      <c r="L2" s="17">
        <f>COUNTIF(Table1[Current Status], "Hired")</f>
        <v>10</v>
      </c>
    </row>
    <row r="3" spans="1:12" ht="14.4" thickBot="1" x14ac:dyDescent="0.3">
      <c r="A3" s="6" t="s">
        <v>14</v>
      </c>
      <c r="B3" s="3" t="s">
        <v>15</v>
      </c>
      <c r="C3" s="3" t="s">
        <v>16</v>
      </c>
      <c r="D3" s="3" t="s">
        <v>17</v>
      </c>
      <c r="E3" s="2">
        <v>46024</v>
      </c>
      <c r="F3" s="3" t="s">
        <v>12</v>
      </c>
      <c r="G3" s="2">
        <v>46037</v>
      </c>
      <c r="H3" s="14">
        <f>IF(Table1[[#This Row],[Offer Date]]="", "", Table1[[#This Row],[Offer Date]]-Table1[[#This Row],[App Date]])</f>
        <v>13</v>
      </c>
      <c r="I3" s="7" t="s">
        <v>18</v>
      </c>
      <c r="K3" s="18" t="s">
        <v>138</v>
      </c>
      <c r="L3" s="19">
        <f>AVERAGE(Table1[Time to Hire])</f>
        <v>9.7142857142857135</v>
      </c>
    </row>
    <row r="4" spans="1:12" ht="14.4" thickBot="1" x14ac:dyDescent="0.3">
      <c r="A4" s="6" t="s">
        <v>19</v>
      </c>
      <c r="B4" s="3" t="s">
        <v>20</v>
      </c>
      <c r="C4" s="3" t="s">
        <v>10</v>
      </c>
      <c r="D4" s="3" t="s">
        <v>21</v>
      </c>
      <c r="E4" s="2">
        <v>46024</v>
      </c>
      <c r="F4" s="3" t="s">
        <v>22</v>
      </c>
      <c r="G4" s="1"/>
      <c r="H4" s="15" t="str">
        <f>IF(Table1[[#This Row],[Offer Date]]="", "", Table1[[#This Row],[Offer Date]]-Table1[[#This Row],[App Date]])</f>
        <v/>
      </c>
      <c r="I4" s="7" t="s">
        <v>23</v>
      </c>
    </row>
    <row r="5" spans="1:12" ht="14.4" thickBot="1" x14ac:dyDescent="0.3">
      <c r="A5" s="6" t="s">
        <v>24</v>
      </c>
      <c r="B5" s="3" t="s">
        <v>25</v>
      </c>
      <c r="C5" s="3" t="s">
        <v>26</v>
      </c>
      <c r="D5" s="3" t="s">
        <v>27</v>
      </c>
      <c r="E5" s="2">
        <v>46025</v>
      </c>
      <c r="F5" s="3" t="s">
        <v>28</v>
      </c>
      <c r="G5" s="1"/>
      <c r="H5" s="15" t="str">
        <f>IF(Table1[[#This Row],[Offer Date]]="", "", Table1[[#This Row],[Offer Date]]-Table1[[#This Row],[App Date]])</f>
        <v/>
      </c>
      <c r="I5" s="7" t="s">
        <v>29</v>
      </c>
    </row>
    <row r="6" spans="1:12" ht="14.4" thickBot="1" x14ac:dyDescent="0.3">
      <c r="A6" s="6" t="s">
        <v>30</v>
      </c>
      <c r="B6" s="3" t="s">
        <v>31</v>
      </c>
      <c r="C6" s="3" t="s">
        <v>32</v>
      </c>
      <c r="D6" s="3" t="s">
        <v>11</v>
      </c>
      <c r="E6" s="2">
        <v>46026</v>
      </c>
      <c r="F6" s="3" t="s">
        <v>33</v>
      </c>
      <c r="G6" s="1"/>
      <c r="H6" s="15" t="str">
        <f>IF(Table1[[#This Row],[Offer Date]]="", "", Table1[[#This Row],[Offer Date]]-Table1[[#This Row],[App Date]])</f>
        <v/>
      </c>
      <c r="I6" s="7" t="s">
        <v>23</v>
      </c>
    </row>
    <row r="7" spans="1:12" ht="14.4" thickBot="1" x14ac:dyDescent="0.3">
      <c r="A7" s="6" t="s">
        <v>34</v>
      </c>
      <c r="B7" s="3" t="s">
        <v>35</v>
      </c>
      <c r="C7" s="3" t="s">
        <v>36</v>
      </c>
      <c r="D7" s="3" t="s">
        <v>21</v>
      </c>
      <c r="E7" s="2">
        <v>46026</v>
      </c>
      <c r="F7" s="3" t="s">
        <v>12</v>
      </c>
      <c r="G7" s="2">
        <v>46040</v>
      </c>
      <c r="H7" s="14">
        <f>IF(Table1[[#This Row],[Offer Date]]="", "", Table1[[#This Row],[Offer Date]]-Table1[[#This Row],[App Date]])</f>
        <v>14</v>
      </c>
      <c r="I7" s="7" t="s">
        <v>13</v>
      </c>
    </row>
    <row r="8" spans="1:12" ht="14.4" thickBot="1" x14ac:dyDescent="0.3">
      <c r="A8" s="6" t="s">
        <v>37</v>
      </c>
      <c r="B8" s="3" t="s">
        <v>38</v>
      </c>
      <c r="C8" s="3" t="s">
        <v>10</v>
      </c>
      <c r="D8" s="3" t="s">
        <v>17</v>
      </c>
      <c r="E8" s="2">
        <v>46027</v>
      </c>
      <c r="F8" s="3" t="s">
        <v>39</v>
      </c>
      <c r="G8" s="2">
        <v>46044</v>
      </c>
      <c r="H8" s="14">
        <f>IF(Table1[[#This Row],[Offer Date]]="", "", Table1[[#This Row],[Offer Date]]-Table1[[#This Row],[App Date]])</f>
        <v>17</v>
      </c>
      <c r="I8" s="7" t="s">
        <v>13</v>
      </c>
    </row>
    <row r="9" spans="1:12" ht="14.4" thickBot="1" x14ac:dyDescent="0.3">
      <c r="A9" s="6" t="s">
        <v>40</v>
      </c>
      <c r="B9" s="3" t="s">
        <v>41</v>
      </c>
      <c r="C9" s="3" t="s">
        <v>42</v>
      </c>
      <c r="D9" s="3" t="s">
        <v>11</v>
      </c>
      <c r="E9" s="2">
        <v>46027</v>
      </c>
      <c r="F9" s="3" t="s">
        <v>43</v>
      </c>
      <c r="G9" s="1"/>
      <c r="H9" s="15" t="str">
        <f>IF(Table1[[#This Row],[Offer Date]]="", "", Table1[[#This Row],[Offer Date]]-Table1[[#This Row],[App Date]])</f>
        <v/>
      </c>
      <c r="I9" s="7" t="s">
        <v>29</v>
      </c>
    </row>
    <row r="10" spans="1:12" ht="14.4" thickBot="1" x14ac:dyDescent="0.3">
      <c r="A10" s="6" t="s">
        <v>44</v>
      </c>
      <c r="B10" s="3" t="s">
        <v>45</v>
      </c>
      <c r="C10" s="3" t="s">
        <v>46</v>
      </c>
      <c r="D10" s="3" t="s">
        <v>27</v>
      </c>
      <c r="E10" s="2">
        <v>46028</v>
      </c>
      <c r="F10" s="3" t="s">
        <v>47</v>
      </c>
      <c r="G10" s="1"/>
      <c r="H10" s="15" t="str">
        <f>IF(Table1[[#This Row],[Offer Date]]="", "", Table1[[#This Row],[Offer Date]]-Table1[[#This Row],[App Date]])</f>
        <v/>
      </c>
      <c r="I10" s="7" t="s">
        <v>18</v>
      </c>
    </row>
    <row r="11" spans="1:12" ht="14.4" thickBot="1" x14ac:dyDescent="0.3">
      <c r="A11" s="6" t="s">
        <v>48</v>
      </c>
      <c r="B11" s="3" t="s">
        <v>9</v>
      </c>
      <c r="C11" s="3" t="s">
        <v>10</v>
      </c>
      <c r="D11" s="3" t="s">
        <v>11</v>
      </c>
      <c r="E11" s="2">
        <v>46028</v>
      </c>
      <c r="F11" s="3" t="s">
        <v>33</v>
      </c>
      <c r="G11" s="1"/>
      <c r="H11" s="15" t="str">
        <f>IF(Table1[[#This Row],[Offer Date]]="", "", Table1[[#This Row],[Offer Date]]-Table1[[#This Row],[App Date]])</f>
        <v/>
      </c>
      <c r="I11" s="7" t="s">
        <v>13</v>
      </c>
    </row>
    <row r="12" spans="1:12" ht="14.4" thickBot="1" x14ac:dyDescent="0.3">
      <c r="A12" s="6" t="s">
        <v>49</v>
      </c>
      <c r="B12" s="3" t="s">
        <v>50</v>
      </c>
      <c r="C12" s="3" t="s">
        <v>10</v>
      </c>
      <c r="D12" s="3" t="s">
        <v>21</v>
      </c>
      <c r="E12" s="2">
        <v>46029</v>
      </c>
      <c r="F12" s="3" t="s">
        <v>12</v>
      </c>
      <c r="G12" s="2">
        <v>46042</v>
      </c>
      <c r="H12" s="14">
        <f>IF(Table1[[#This Row],[Offer Date]]="", "", Table1[[#This Row],[Offer Date]]-Table1[[#This Row],[App Date]])</f>
        <v>13</v>
      </c>
      <c r="I12" s="7" t="s">
        <v>23</v>
      </c>
    </row>
    <row r="13" spans="1:12" ht="14.4" thickBot="1" x14ac:dyDescent="0.3">
      <c r="A13" s="6" t="s">
        <v>51</v>
      </c>
      <c r="B13" s="3" t="s">
        <v>52</v>
      </c>
      <c r="C13" s="3" t="s">
        <v>16</v>
      </c>
      <c r="D13" s="3" t="s">
        <v>17</v>
      </c>
      <c r="E13" s="2">
        <v>46029</v>
      </c>
      <c r="F13" s="3" t="s">
        <v>28</v>
      </c>
      <c r="G13" s="1"/>
      <c r="H13" s="15" t="str">
        <f>IF(Table1[[#This Row],[Offer Date]]="", "", Table1[[#This Row],[Offer Date]]-Table1[[#This Row],[App Date]])</f>
        <v/>
      </c>
      <c r="I13" s="7" t="s">
        <v>18</v>
      </c>
    </row>
    <row r="14" spans="1:12" ht="14.4" thickBot="1" x14ac:dyDescent="0.3">
      <c r="A14" s="6" t="s">
        <v>53</v>
      </c>
      <c r="B14" s="3" t="s">
        <v>54</v>
      </c>
      <c r="C14" s="3" t="s">
        <v>26</v>
      </c>
      <c r="D14" s="3" t="s">
        <v>11</v>
      </c>
      <c r="E14" s="2">
        <v>46030</v>
      </c>
      <c r="F14" s="3" t="s">
        <v>33</v>
      </c>
      <c r="G14" s="1"/>
      <c r="H14" s="15" t="str">
        <f>IF(Table1[[#This Row],[Offer Date]]="", "", Table1[[#This Row],[Offer Date]]-Table1[[#This Row],[App Date]])</f>
        <v/>
      </c>
      <c r="I14" s="7" t="s">
        <v>29</v>
      </c>
    </row>
    <row r="15" spans="1:12" ht="14.4" thickBot="1" x14ac:dyDescent="0.3">
      <c r="A15" s="6" t="s">
        <v>55</v>
      </c>
      <c r="B15" s="3" t="s">
        <v>56</v>
      </c>
      <c r="C15" s="3" t="s">
        <v>36</v>
      </c>
      <c r="D15" s="3" t="s">
        <v>27</v>
      </c>
      <c r="E15" s="2">
        <v>46030</v>
      </c>
      <c r="F15" s="3" t="s">
        <v>57</v>
      </c>
      <c r="G15" s="1"/>
      <c r="H15" s="15" t="str">
        <f>IF(Table1[[#This Row],[Offer Date]]="", "", Table1[[#This Row],[Offer Date]]-Table1[[#This Row],[App Date]])</f>
        <v/>
      </c>
      <c r="I15" s="7" t="s">
        <v>13</v>
      </c>
    </row>
    <row r="16" spans="1:12" ht="14.4" thickBot="1" x14ac:dyDescent="0.3">
      <c r="A16" s="6" t="s">
        <v>58</v>
      </c>
      <c r="B16" s="3" t="s">
        <v>59</v>
      </c>
      <c r="C16" s="3" t="s">
        <v>10</v>
      </c>
      <c r="D16" s="3" t="s">
        <v>21</v>
      </c>
      <c r="E16" s="2">
        <v>46031</v>
      </c>
      <c r="F16" s="3" t="s">
        <v>22</v>
      </c>
      <c r="G16" s="1"/>
      <c r="H16" s="15" t="str">
        <f>IF(Table1[[#This Row],[Offer Date]]="", "", Table1[[#This Row],[Offer Date]]-Table1[[#This Row],[App Date]])</f>
        <v/>
      </c>
      <c r="I16" s="7" t="s">
        <v>13</v>
      </c>
    </row>
    <row r="17" spans="1:9" ht="14.4" thickBot="1" x14ac:dyDescent="0.3">
      <c r="A17" s="6" t="s">
        <v>60</v>
      </c>
      <c r="B17" s="3" t="s">
        <v>61</v>
      </c>
      <c r="C17" s="3" t="s">
        <v>32</v>
      </c>
      <c r="D17" s="3" t="s">
        <v>11</v>
      </c>
      <c r="E17" s="2">
        <v>46031</v>
      </c>
      <c r="F17" s="3" t="s">
        <v>12</v>
      </c>
      <c r="G17" s="2">
        <v>46046</v>
      </c>
      <c r="H17" s="14">
        <f>IF(Table1[[#This Row],[Offer Date]]="", "", Table1[[#This Row],[Offer Date]]-Table1[[#This Row],[App Date]])</f>
        <v>15</v>
      </c>
      <c r="I17" s="7" t="s">
        <v>23</v>
      </c>
    </row>
    <row r="18" spans="1:9" ht="14.4" thickBot="1" x14ac:dyDescent="0.3">
      <c r="A18" s="6" t="s">
        <v>62</v>
      </c>
      <c r="B18" s="3" t="s">
        <v>63</v>
      </c>
      <c r="C18" s="3" t="s">
        <v>42</v>
      </c>
      <c r="D18" s="3" t="s">
        <v>17</v>
      </c>
      <c r="E18" s="2">
        <v>46032</v>
      </c>
      <c r="F18" s="3" t="s">
        <v>47</v>
      </c>
      <c r="G18" s="1"/>
      <c r="H18" s="15" t="str">
        <f>IF(Table1[[#This Row],[Offer Date]]="", "", Table1[[#This Row],[Offer Date]]-Table1[[#This Row],[App Date]])</f>
        <v/>
      </c>
      <c r="I18" s="7" t="s">
        <v>29</v>
      </c>
    </row>
    <row r="19" spans="1:9" ht="14.4" thickBot="1" x14ac:dyDescent="0.3">
      <c r="A19" s="6" t="s">
        <v>64</v>
      </c>
      <c r="B19" s="3" t="s">
        <v>65</v>
      </c>
      <c r="C19" s="3" t="s">
        <v>42</v>
      </c>
      <c r="D19" s="3" t="s">
        <v>27</v>
      </c>
      <c r="E19" s="2">
        <v>46032</v>
      </c>
      <c r="F19" s="3" t="s">
        <v>28</v>
      </c>
      <c r="G19" s="1"/>
      <c r="H19" s="15" t="str">
        <f>IF(Table1[[#This Row],[Offer Date]]="", "", Table1[[#This Row],[Offer Date]]-Table1[[#This Row],[App Date]])</f>
        <v/>
      </c>
      <c r="I19" s="7" t="s">
        <v>29</v>
      </c>
    </row>
    <row r="20" spans="1:9" ht="14.4" thickBot="1" x14ac:dyDescent="0.3">
      <c r="A20" s="6" t="s">
        <v>66</v>
      </c>
      <c r="B20" s="3" t="s">
        <v>67</v>
      </c>
      <c r="C20" s="3" t="s">
        <v>10</v>
      </c>
      <c r="D20" s="3" t="s">
        <v>11</v>
      </c>
      <c r="E20" s="2">
        <v>46033</v>
      </c>
      <c r="F20" s="3" t="s">
        <v>39</v>
      </c>
      <c r="G20" s="2">
        <v>46047</v>
      </c>
      <c r="H20" s="14">
        <f>IF(Table1[[#This Row],[Offer Date]]="", "", Table1[[#This Row],[Offer Date]]-Table1[[#This Row],[App Date]])</f>
        <v>14</v>
      </c>
      <c r="I20" s="7" t="s">
        <v>23</v>
      </c>
    </row>
    <row r="21" spans="1:9" ht="14.4" thickBot="1" x14ac:dyDescent="0.3">
      <c r="A21" s="6" t="s">
        <v>68</v>
      </c>
      <c r="B21" s="3" t="s">
        <v>69</v>
      </c>
      <c r="C21" s="3" t="s">
        <v>26</v>
      </c>
      <c r="D21" s="3" t="s">
        <v>21</v>
      </c>
      <c r="E21" s="2">
        <v>46033</v>
      </c>
      <c r="F21" s="3" t="s">
        <v>33</v>
      </c>
      <c r="G21" s="1"/>
      <c r="H21" s="15" t="str">
        <f>IF(Table1[[#This Row],[Offer Date]]="", "", Table1[[#This Row],[Offer Date]]-Table1[[#This Row],[App Date]])</f>
        <v/>
      </c>
      <c r="I21" s="7" t="s">
        <v>29</v>
      </c>
    </row>
    <row r="22" spans="1:9" ht="14.4" thickBot="1" x14ac:dyDescent="0.3">
      <c r="A22" s="6" t="s">
        <v>70</v>
      </c>
      <c r="B22" s="3" t="s">
        <v>71</v>
      </c>
      <c r="C22" s="3" t="s">
        <v>10</v>
      </c>
      <c r="D22" s="3" t="s">
        <v>17</v>
      </c>
      <c r="E22" s="2">
        <v>46034</v>
      </c>
      <c r="F22" s="3" t="s">
        <v>12</v>
      </c>
      <c r="G22" s="2">
        <v>46044</v>
      </c>
      <c r="H22" s="14">
        <f>IF(Table1[[#This Row],[Offer Date]]="", "", Table1[[#This Row],[Offer Date]]-Table1[[#This Row],[App Date]])</f>
        <v>10</v>
      </c>
      <c r="I22" s="7" t="s">
        <v>13</v>
      </c>
    </row>
    <row r="23" spans="1:9" ht="14.4" thickBot="1" x14ac:dyDescent="0.3">
      <c r="A23" s="6" t="s">
        <v>72</v>
      </c>
      <c r="B23" s="3" t="s">
        <v>20</v>
      </c>
      <c r="C23" s="3" t="s">
        <v>10</v>
      </c>
      <c r="D23" s="3" t="s">
        <v>27</v>
      </c>
      <c r="E23" s="2">
        <v>46034</v>
      </c>
      <c r="F23" s="3" t="s">
        <v>57</v>
      </c>
      <c r="G23" s="1"/>
      <c r="H23" s="15" t="str">
        <f>IF(Table1[[#This Row],[Offer Date]]="", "", Table1[[#This Row],[Offer Date]]-Table1[[#This Row],[App Date]])</f>
        <v/>
      </c>
      <c r="I23" s="7" t="s">
        <v>23</v>
      </c>
    </row>
    <row r="24" spans="1:9" ht="14.4" thickBot="1" x14ac:dyDescent="0.3">
      <c r="A24" s="6" t="s">
        <v>73</v>
      </c>
      <c r="B24" s="3" t="s">
        <v>74</v>
      </c>
      <c r="C24" s="3" t="s">
        <v>10</v>
      </c>
      <c r="D24" s="3" t="s">
        <v>11</v>
      </c>
      <c r="E24" s="2">
        <v>46035</v>
      </c>
      <c r="F24" s="3" t="s">
        <v>22</v>
      </c>
      <c r="G24" s="1"/>
      <c r="H24" s="15" t="str">
        <f>IF(Table1[[#This Row],[Offer Date]]="", "", Table1[[#This Row],[Offer Date]]-Table1[[#This Row],[App Date]])</f>
        <v/>
      </c>
      <c r="I24" s="7" t="s">
        <v>23</v>
      </c>
    </row>
    <row r="25" spans="1:9" ht="14.4" thickBot="1" x14ac:dyDescent="0.3">
      <c r="A25" s="6" t="s">
        <v>75</v>
      </c>
      <c r="B25" s="3" t="s">
        <v>76</v>
      </c>
      <c r="C25" s="3" t="s">
        <v>16</v>
      </c>
      <c r="D25" s="3" t="s">
        <v>17</v>
      </c>
      <c r="E25" s="2">
        <v>46035</v>
      </c>
      <c r="F25" s="3" t="s">
        <v>33</v>
      </c>
      <c r="G25" s="1"/>
      <c r="H25" s="15" t="str">
        <f>IF(Table1[[#This Row],[Offer Date]]="", "", Table1[[#This Row],[Offer Date]]-Table1[[#This Row],[App Date]])</f>
        <v/>
      </c>
      <c r="I25" s="7" t="s">
        <v>18</v>
      </c>
    </row>
    <row r="26" spans="1:9" ht="14.4" thickBot="1" x14ac:dyDescent="0.3">
      <c r="A26" s="6" t="s">
        <v>77</v>
      </c>
      <c r="B26" s="3" t="s">
        <v>78</v>
      </c>
      <c r="C26" s="3" t="s">
        <v>26</v>
      </c>
      <c r="D26" s="3" t="s">
        <v>21</v>
      </c>
      <c r="E26" s="2">
        <v>46036</v>
      </c>
      <c r="F26" s="3" t="s">
        <v>28</v>
      </c>
      <c r="G26" s="1"/>
      <c r="H26" s="15" t="str">
        <f>IF(Table1[[#This Row],[Offer Date]]="", "", Table1[[#This Row],[Offer Date]]-Table1[[#This Row],[App Date]])</f>
        <v/>
      </c>
      <c r="I26" s="7" t="s">
        <v>29</v>
      </c>
    </row>
    <row r="27" spans="1:9" ht="14.4" thickBot="1" x14ac:dyDescent="0.3">
      <c r="A27" s="6" t="s">
        <v>79</v>
      </c>
      <c r="B27" s="3" t="s">
        <v>80</v>
      </c>
      <c r="C27" s="3" t="s">
        <v>36</v>
      </c>
      <c r="D27" s="3" t="s">
        <v>27</v>
      </c>
      <c r="E27" s="2">
        <v>46036</v>
      </c>
      <c r="F27" s="3" t="s">
        <v>57</v>
      </c>
      <c r="G27" s="1"/>
      <c r="H27" s="15" t="str">
        <f>IF(Table1[[#This Row],[Offer Date]]="", "", Table1[[#This Row],[Offer Date]]-Table1[[#This Row],[App Date]])</f>
        <v/>
      </c>
      <c r="I27" s="7" t="s">
        <v>13</v>
      </c>
    </row>
    <row r="28" spans="1:9" ht="14.4" thickBot="1" x14ac:dyDescent="0.3">
      <c r="A28" s="6" t="s">
        <v>81</v>
      </c>
      <c r="B28" s="3" t="s">
        <v>82</v>
      </c>
      <c r="C28" s="3" t="s">
        <v>10</v>
      </c>
      <c r="D28" s="3" t="s">
        <v>11</v>
      </c>
      <c r="E28" s="2">
        <v>46037</v>
      </c>
      <c r="F28" s="3" t="s">
        <v>47</v>
      </c>
      <c r="G28" s="1"/>
      <c r="H28" s="15" t="str">
        <f>IF(Table1[[#This Row],[Offer Date]]="", "", Table1[[#This Row],[Offer Date]]-Table1[[#This Row],[App Date]])</f>
        <v/>
      </c>
      <c r="I28" s="7" t="s">
        <v>13</v>
      </c>
    </row>
    <row r="29" spans="1:9" ht="14.4" thickBot="1" x14ac:dyDescent="0.3">
      <c r="A29" s="6" t="s">
        <v>83</v>
      </c>
      <c r="B29" s="3" t="s">
        <v>84</v>
      </c>
      <c r="C29" s="3" t="s">
        <v>42</v>
      </c>
      <c r="D29" s="3" t="s">
        <v>17</v>
      </c>
      <c r="E29" s="2">
        <v>46037</v>
      </c>
      <c r="F29" s="3" t="s">
        <v>12</v>
      </c>
      <c r="G29" s="2">
        <v>46046</v>
      </c>
      <c r="H29" s="14">
        <f>IF(Table1[[#This Row],[Offer Date]]="", "", Table1[[#This Row],[Offer Date]]-Table1[[#This Row],[App Date]])</f>
        <v>9</v>
      </c>
      <c r="I29" s="7" t="s">
        <v>29</v>
      </c>
    </row>
    <row r="30" spans="1:9" ht="14.4" thickBot="1" x14ac:dyDescent="0.3">
      <c r="A30" s="6" t="s">
        <v>85</v>
      </c>
      <c r="B30" s="3" t="s">
        <v>86</v>
      </c>
      <c r="C30" s="3" t="s">
        <v>32</v>
      </c>
      <c r="D30" s="3" t="s">
        <v>21</v>
      </c>
      <c r="E30" s="2">
        <v>46038</v>
      </c>
      <c r="F30" s="3" t="s">
        <v>33</v>
      </c>
      <c r="G30" s="1"/>
      <c r="H30" s="15" t="str">
        <f>IF(Table1[[#This Row],[Offer Date]]="", "", Table1[[#This Row],[Offer Date]]-Table1[[#This Row],[App Date]])</f>
        <v/>
      </c>
      <c r="I30" s="7" t="s">
        <v>23</v>
      </c>
    </row>
    <row r="31" spans="1:9" ht="14.4" thickBot="1" x14ac:dyDescent="0.3">
      <c r="A31" s="6" t="s">
        <v>87</v>
      </c>
      <c r="B31" s="3" t="s">
        <v>88</v>
      </c>
      <c r="C31" s="3" t="s">
        <v>16</v>
      </c>
      <c r="D31" s="3" t="s">
        <v>11</v>
      </c>
      <c r="E31" s="2">
        <v>46038</v>
      </c>
      <c r="F31" s="3" t="s">
        <v>28</v>
      </c>
      <c r="G31" s="1"/>
      <c r="H31" s="15" t="str">
        <f>IF(Table1[[#This Row],[Offer Date]]="", "", Table1[[#This Row],[Offer Date]]-Table1[[#This Row],[App Date]])</f>
        <v/>
      </c>
      <c r="I31" s="7" t="s">
        <v>18</v>
      </c>
    </row>
    <row r="32" spans="1:9" ht="14.4" thickBot="1" x14ac:dyDescent="0.3">
      <c r="A32" s="6" t="s">
        <v>89</v>
      </c>
      <c r="B32" s="3" t="s">
        <v>90</v>
      </c>
      <c r="C32" s="3" t="s">
        <v>10</v>
      </c>
      <c r="D32" s="3" t="s">
        <v>17</v>
      </c>
      <c r="E32" s="2">
        <v>46039</v>
      </c>
      <c r="F32" s="3" t="s">
        <v>12</v>
      </c>
      <c r="G32" s="2">
        <v>46047</v>
      </c>
      <c r="H32" s="14">
        <f>IF(Table1[[#This Row],[Offer Date]]="", "", Table1[[#This Row],[Offer Date]]-Table1[[#This Row],[App Date]])</f>
        <v>8</v>
      </c>
      <c r="I32" s="7" t="s">
        <v>13</v>
      </c>
    </row>
    <row r="33" spans="1:9" ht="14.4" thickBot="1" x14ac:dyDescent="0.3">
      <c r="A33" s="6" t="s">
        <v>91</v>
      </c>
      <c r="B33" s="3" t="s">
        <v>25</v>
      </c>
      <c r="C33" s="3" t="s">
        <v>26</v>
      </c>
      <c r="D33" s="3" t="s">
        <v>27</v>
      </c>
      <c r="E33" s="2">
        <v>46039</v>
      </c>
      <c r="F33" s="3" t="s">
        <v>57</v>
      </c>
      <c r="G33" s="1"/>
      <c r="H33" s="15" t="str">
        <f>IF(Table1[[#This Row],[Offer Date]]="", "", Table1[[#This Row],[Offer Date]]-Table1[[#This Row],[App Date]])</f>
        <v/>
      </c>
      <c r="I33" s="7" t="s">
        <v>29</v>
      </c>
    </row>
    <row r="34" spans="1:9" ht="14.4" thickBot="1" x14ac:dyDescent="0.3">
      <c r="A34" s="6" t="s">
        <v>92</v>
      </c>
      <c r="B34" s="3" t="s">
        <v>93</v>
      </c>
      <c r="C34" s="3" t="s">
        <v>10</v>
      </c>
      <c r="D34" s="3" t="s">
        <v>21</v>
      </c>
      <c r="E34" s="2">
        <v>46040</v>
      </c>
      <c r="F34" s="3" t="s">
        <v>22</v>
      </c>
      <c r="G34" s="1"/>
      <c r="H34" s="15" t="str">
        <f>IF(Table1[[#This Row],[Offer Date]]="", "", Table1[[#This Row],[Offer Date]]-Table1[[#This Row],[App Date]])</f>
        <v/>
      </c>
      <c r="I34" s="7" t="s">
        <v>23</v>
      </c>
    </row>
    <row r="35" spans="1:9" ht="14.4" thickBot="1" x14ac:dyDescent="0.3">
      <c r="A35" s="6" t="s">
        <v>94</v>
      </c>
      <c r="B35" s="3" t="s">
        <v>95</v>
      </c>
      <c r="C35" s="3" t="s">
        <v>42</v>
      </c>
      <c r="D35" s="3" t="s">
        <v>11</v>
      </c>
      <c r="E35" s="2">
        <v>46040</v>
      </c>
      <c r="F35" s="3" t="s">
        <v>47</v>
      </c>
      <c r="G35" s="1"/>
      <c r="H35" s="15" t="str">
        <f>IF(Table1[[#This Row],[Offer Date]]="", "", Table1[[#This Row],[Offer Date]]-Table1[[#This Row],[App Date]])</f>
        <v/>
      </c>
      <c r="I35" s="7" t="s">
        <v>29</v>
      </c>
    </row>
    <row r="36" spans="1:9" ht="14.4" thickBot="1" x14ac:dyDescent="0.3">
      <c r="A36" s="6" t="s">
        <v>96</v>
      </c>
      <c r="B36" s="3" t="s">
        <v>97</v>
      </c>
      <c r="C36" s="3" t="s">
        <v>98</v>
      </c>
      <c r="D36" s="3" t="s">
        <v>17</v>
      </c>
      <c r="E36" s="2">
        <v>46041</v>
      </c>
      <c r="F36" s="3" t="s">
        <v>39</v>
      </c>
      <c r="G36" s="2">
        <v>46047</v>
      </c>
      <c r="H36" s="14">
        <f>IF(Table1[[#This Row],[Offer Date]]="", "", Table1[[#This Row],[Offer Date]]-Table1[[#This Row],[App Date]])</f>
        <v>6</v>
      </c>
      <c r="I36" s="7" t="s">
        <v>18</v>
      </c>
    </row>
    <row r="37" spans="1:9" ht="14.4" thickBot="1" x14ac:dyDescent="0.3">
      <c r="A37" s="6" t="s">
        <v>99</v>
      </c>
      <c r="B37" s="3" t="s">
        <v>100</v>
      </c>
      <c r="C37" s="3" t="s">
        <v>10</v>
      </c>
      <c r="D37" s="3" t="s">
        <v>27</v>
      </c>
      <c r="E37" s="2">
        <v>46041</v>
      </c>
      <c r="F37" s="3" t="s">
        <v>28</v>
      </c>
      <c r="G37" s="1"/>
      <c r="H37" s="15" t="str">
        <f>IF(Table1[[#This Row],[Offer Date]]="", "", Table1[[#This Row],[Offer Date]]-Table1[[#This Row],[App Date]])</f>
        <v/>
      </c>
      <c r="I37" s="7" t="s">
        <v>13</v>
      </c>
    </row>
    <row r="38" spans="1:9" ht="14.4" thickBot="1" x14ac:dyDescent="0.3">
      <c r="A38" s="6" t="s">
        <v>101</v>
      </c>
      <c r="B38" s="3" t="s">
        <v>102</v>
      </c>
      <c r="C38" s="3" t="s">
        <v>103</v>
      </c>
      <c r="D38" s="3" t="s">
        <v>11</v>
      </c>
      <c r="E38" s="2">
        <v>46042</v>
      </c>
      <c r="F38" s="3" t="s">
        <v>57</v>
      </c>
      <c r="G38" s="1"/>
      <c r="H38" s="15" t="str">
        <f>IF(Table1[[#This Row],[Offer Date]]="", "", Table1[[#This Row],[Offer Date]]-Table1[[#This Row],[App Date]])</f>
        <v/>
      </c>
      <c r="I38" s="7" t="s">
        <v>18</v>
      </c>
    </row>
    <row r="39" spans="1:9" ht="14.4" thickBot="1" x14ac:dyDescent="0.3">
      <c r="A39" s="6" t="s">
        <v>104</v>
      </c>
      <c r="B39" s="3" t="s">
        <v>9</v>
      </c>
      <c r="C39" s="3" t="s">
        <v>10</v>
      </c>
      <c r="D39" s="3" t="s">
        <v>21</v>
      </c>
      <c r="E39" s="2">
        <v>46042</v>
      </c>
      <c r="F39" s="3" t="s">
        <v>33</v>
      </c>
      <c r="G39" s="1"/>
      <c r="H39" s="15" t="str">
        <f>IF(Table1[[#This Row],[Offer Date]]="", "", Table1[[#This Row],[Offer Date]]-Table1[[#This Row],[App Date]])</f>
        <v/>
      </c>
      <c r="I39" s="7" t="s">
        <v>13</v>
      </c>
    </row>
    <row r="40" spans="1:9" ht="14.4" thickBot="1" x14ac:dyDescent="0.3">
      <c r="A40" s="6" t="s">
        <v>105</v>
      </c>
      <c r="B40" s="3" t="s">
        <v>106</v>
      </c>
      <c r="C40" s="3" t="s">
        <v>16</v>
      </c>
      <c r="D40" s="3" t="s">
        <v>17</v>
      </c>
      <c r="E40" s="2">
        <v>46043</v>
      </c>
      <c r="F40" s="3" t="s">
        <v>12</v>
      </c>
      <c r="G40" s="2">
        <v>46047</v>
      </c>
      <c r="H40" s="14">
        <f>IF(Table1[[#This Row],[Offer Date]]="", "", Table1[[#This Row],[Offer Date]]-Table1[[#This Row],[App Date]])</f>
        <v>4</v>
      </c>
      <c r="I40" s="7" t="s">
        <v>18</v>
      </c>
    </row>
    <row r="41" spans="1:9" ht="14.4" thickBot="1" x14ac:dyDescent="0.3">
      <c r="A41" s="6" t="s">
        <v>107</v>
      </c>
      <c r="B41" s="3" t="s">
        <v>108</v>
      </c>
      <c r="C41" s="3" t="s">
        <v>26</v>
      </c>
      <c r="D41" s="3" t="s">
        <v>11</v>
      </c>
      <c r="E41" s="2">
        <v>46043</v>
      </c>
      <c r="F41" s="3" t="s">
        <v>28</v>
      </c>
      <c r="G41" s="1"/>
      <c r="H41" s="15" t="str">
        <f>IF(Table1[[#This Row],[Offer Date]]="", "", Table1[[#This Row],[Offer Date]]-Table1[[#This Row],[App Date]])</f>
        <v/>
      </c>
      <c r="I41" s="7" t="s">
        <v>29</v>
      </c>
    </row>
    <row r="42" spans="1:9" ht="14.4" thickBot="1" x14ac:dyDescent="0.3">
      <c r="A42" s="6" t="s">
        <v>109</v>
      </c>
      <c r="B42" s="3" t="s">
        <v>110</v>
      </c>
      <c r="C42" s="3" t="s">
        <v>36</v>
      </c>
      <c r="D42" s="3" t="s">
        <v>27</v>
      </c>
      <c r="E42" s="2">
        <v>46044</v>
      </c>
      <c r="F42" s="3" t="s">
        <v>57</v>
      </c>
      <c r="G42" s="1"/>
      <c r="H42" s="15" t="str">
        <f>IF(Table1[[#This Row],[Offer Date]]="", "", Table1[[#This Row],[Offer Date]]-Table1[[#This Row],[App Date]])</f>
        <v/>
      </c>
      <c r="I42" s="7" t="s">
        <v>13</v>
      </c>
    </row>
    <row r="43" spans="1:9" ht="14.4" thickBot="1" x14ac:dyDescent="0.3">
      <c r="A43" s="6" t="s">
        <v>111</v>
      </c>
      <c r="B43" s="3" t="s">
        <v>112</v>
      </c>
      <c r="C43" s="3" t="s">
        <v>10</v>
      </c>
      <c r="D43" s="3" t="s">
        <v>21</v>
      </c>
      <c r="E43" s="2">
        <v>46044</v>
      </c>
      <c r="F43" s="3" t="s">
        <v>22</v>
      </c>
      <c r="G43" s="1"/>
      <c r="H43" s="15" t="str">
        <f>IF(Table1[[#This Row],[Offer Date]]="", "", Table1[[#This Row],[Offer Date]]-Table1[[#This Row],[App Date]])</f>
        <v/>
      </c>
      <c r="I43" s="7" t="s">
        <v>23</v>
      </c>
    </row>
    <row r="44" spans="1:9" ht="14.4" thickBot="1" x14ac:dyDescent="0.3">
      <c r="A44" s="6" t="s">
        <v>113</v>
      </c>
      <c r="B44" s="3" t="s">
        <v>114</v>
      </c>
      <c r="C44" s="3" t="s">
        <v>42</v>
      </c>
      <c r="D44" s="3" t="s">
        <v>17</v>
      </c>
      <c r="E44" s="2">
        <v>46045</v>
      </c>
      <c r="F44" s="3" t="s">
        <v>47</v>
      </c>
      <c r="G44" s="1"/>
      <c r="H44" s="15" t="str">
        <f>IF(Table1[[#This Row],[Offer Date]]="", "", Table1[[#This Row],[Offer Date]]-Table1[[#This Row],[App Date]])</f>
        <v/>
      </c>
      <c r="I44" s="7" t="s">
        <v>29</v>
      </c>
    </row>
    <row r="45" spans="1:9" ht="14.4" thickBot="1" x14ac:dyDescent="0.3">
      <c r="A45" s="6" t="s">
        <v>115</v>
      </c>
      <c r="B45" s="3" t="s">
        <v>116</v>
      </c>
      <c r="C45" s="3" t="s">
        <v>10</v>
      </c>
      <c r="D45" s="3" t="s">
        <v>11</v>
      </c>
      <c r="E45" s="2">
        <v>46045</v>
      </c>
      <c r="F45" s="3" t="s">
        <v>39</v>
      </c>
      <c r="G45" s="2">
        <v>46047</v>
      </c>
      <c r="H45" s="14">
        <f>IF(Table1[[#This Row],[Offer Date]]="", "", Table1[[#This Row],[Offer Date]]-Table1[[#This Row],[App Date]])</f>
        <v>2</v>
      </c>
      <c r="I45" s="7" t="s">
        <v>13</v>
      </c>
    </row>
    <row r="46" spans="1:9" ht="14.4" thickBot="1" x14ac:dyDescent="0.3">
      <c r="A46" s="6" t="s">
        <v>117</v>
      </c>
      <c r="B46" s="3" t="s">
        <v>118</v>
      </c>
      <c r="C46" s="3" t="s">
        <v>46</v>
      </c>
      <c r="D46" s="3" t="s">
        <v>27</v>
      </c>
      <c r="E46" s="2">
        <v>46046</v>
      </c>
      <c r="F46" s="3" t="s">
        <v>57</v>
      </c>
      <c r="G46" s="1"/>
      <c r="H46" s="15" t="str">
        <f>IF(Table1[[#This Row],[Offer Date]]="", "", Table1[[#This Row],[Offer Date]]-Table1[[#This Row],[App Date]])</f>
        <v/>
      </c>
      <c r="I46" s="7" t="s">
        <v>18</v>
      </c>
    </row>
    <row r="47" spans="1:9" ht="14.4" thickBot="1" x14ac:dyDescent="0.3">
      <c r="A47" s="6" t="s">
        <v>119</v>
      </c>
      <c r="B47" s="3" t="s">
        <v>120</v>
      </c>
      <c r="C47" s="3" t="s">
        <v>10</v>
      </c>
      <c r="D47" s="3" t="s">
        <v>21</v>
      </c>
      <c r="E47" s="2">
        <v>46046</v>
      </c>
      <c r="F47" s="3" t="s">
        <v>33</v>
      </c>
      <c r="G47" s="1"/>
      <c r="H47" s="15" t="str">
        <f>IF(Table1[[#This Row],[Offer Date]]="", "", Table1[[#This Row],[Offer Date]]-Table1[[#This Row],[App Date]])</f>
        <v/>
      </c>
      <c r="I47" s="7" t="s">
        <v>23</v>
      </c>
    </row>
    <row r="48" spans="1:9" ht="14.4" thickBot="1" x14ac:dyDescent="0.3">
      <c r="A48" s="6" t="s">
        <v>121</v>
      </c>
      <c r="B48" s="3" t="s">
        <v>122</v>
      </c>
      <c r="C48" s="3" t="s">
        <v>123</v>
      </c>
      <c r="D48" s="3" t="s">
        <v>17</v>
      </c>
      <c r="E48" s="2">
        <v>46047</v>
      </c>
      <c r="F48" s="3" t="s">
        <v>12</v>
      </c>
      <c r="G48" s="2">
        <v>46047</v>
      </c>
      <c r="H48" s="14">
        <f>IF(Table1[[#This Row],[Offer Date]]="", "", Table1[[#This Row],[Offer Date]]-Table1[[#This Row],[App Date]])</f>
        <v>0</v>
      </c>
      <c r="I48" s="7" t="s">
        <v>18</v>
      </c>
    </row>
    <row r="49" spans="1:9" ht="14.4" thickBot="1" x14ac:dyDescent="0.3">
      <c r="A49" s="6" t="s">
        <v>124</v>
      </c>
      <c r="B49" s="3" t="s">
        <v>125</v>
      </c>
      <c r="C49" s="3" t="s">
        <v>32</v>
      </c>
      <c r="D49" s="3" t="s">
        <v>11</v>
      </c>
      <c r="E49" s="2">
        <v>46047</v>
      </c>
      <c r="F49" s="3" t="s">
        <v>57</v>
      </c>
      <c r="G49" s="1"/>
      <c r="H49" s="15" t="str">
        <f>IF(Table1[[#This Row],[Offer Date]]="", "", Table1[[#This Row],[Offer Date]]-Table1[[#This Row],[App Date]])</f>
        <v/>
      </c>
      <c r="I49" s="7" t="s">
        <v>23</v>
      </c>
    </row>
    <row r="50" spans="1:9" ht="14.4" thickBot="1" x14ac:dyDescent="0.3">
      <c r="A50" s="6" t="s">
        <v>126</v>
      </c>
      <c r="B50" s="3" t="s">
        <v>127</v>
      </c>
      <c r="C50" s="3" t="s">
        <v>16</v>
      </c>
      <c r="D50" s="3" t="s">
        <v>27</v>
      </c>
      <c r="E50" s="2">
        <v>46047</v>
      </c>
      <c r="F50" s="3" t="s">
        <v>47</v>
      </c>
      <c r="G50" s="1"/>
      <c r="H50" s="15" t="str">
        <f>IF(Table1[[#This Row],[Offer Date]]="", "", Table1[[#This Row],[Offer Date]]-Table1[[#This Row],[App Date]])</f>
        <v/>
      </c>
      <c r="I50" s="7" t="s">
        <v>18</v>
      </c>
    </row>
    <row r="51" spans="1:9" ht="14.4" thickBot="1" x14ac:dyDescent="0.3">
      <c r="A51" s="11" t="s">
        <v>128</v>
      </c>
      <c r="B51" s="12" t="s">
        <v>129</v>
      </c>
      <c r="C51" s="12" t="s">
        <v>42</v>
      </c>
      <c r="D51" s="12" t="s">
        <v>21</v>
      </c>
      <c r="E51" s="2">
        <v>46047</v>
      </c>
      <c r="F51" s="12" t="s">
        <v>28</v>
      </c>
      <c r="G51" s="1"/>
      <c r="H51" s="16" t="str">
        <f>IF(Table1[[#This Row],[Offer Date]]="", "", Table1[[#This Row],[Offer Date]]-Table1[[#This Row],[App Date]])</f>
        <v/>
      </c>
      <c r="I51" s="1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77FAC-664F-4274-A3AC-16005C925F71}">
  <dimension ref="A1:O85"/>
  <sheetViews>
    <sheetView showGridLines="0" showRowColHeaders="0" zoomScaleNormal="100" workbookViewId="0">
      <selection activeCell="C38" sqref="C38"/>
    </sheetView>
  </sheetViews>
  <sheetFormatPr defaultRowHeight="13.8" x14ac:dyDescent="0.25"/>
  <cols>
    <col min="1" max="1" width="13.09765625" style="20" bestFit="1" customWidth="1"/>
    <col min="2" max="2" width="23.5" style="20" bestFit="1" customWidth="1"/>
    <col min="3" max="3" width="8.796875" style="20"/>
    <col min="4" max="4" width="13.09765625" style="20" bestFit="1" customWidth="1"/>
    <col min="5" max="5" width="23.5" style="20" bestFit="1" customWidth="1"/>
    <col min="6" max="6" width="8.796875" style="20"/>
    <col min="7" max="7" width="16" style="20" bestFit="1" customWidth="1"/>
    <col min="8" max="8" width="22" style="20" bestFit="1" customWidth="1"/>
    <col min="9" max="16384" width="8.796875" style="20"/>
  </cols>
  <sheetData>
    <row r="1" spans="1:15" ht="13.8" customHeight="1" x14ac:dyDescent="0.25">
      <c r="A1" s="22" t="s">
        <v>133</v>
      </c>
      <c r="B1" s="22"/>
      <c r="C1" s="22"/>
      <c r="D1" s="22"/>
      <c r="E1" s="22"/>
      <c r="F1" s="22"/>
      <c r="G1" s="22"/>
      <c r="H1" s="22"/>
      <c r="I1" s="22"/>
      <c r="J1" s="22"/>
      <c r="K1" s="22"/>
      <c r="L1" s="22"/>
      <c r="M1" s="22"/>
      <c r="N1" s="22"/>
      <c r="O1" s="22"/>
    </row>
    <row r="2" spans="1:15" x14ac:dyDescent="0.25">
      <c r="A2" s="22"/>
      <c r="B2" s="22"/>
      <c r="C2" s="22"/>
      <c r="D2" s="22"/>
      <c r="E2" s="22"/>
      <c r="F2" s="22"/>
      <c r="G2" s="22"/>
      <c r="H2" s="22"/>
      <c r="I2" s="22"/>
      <c r="J2" s="22"/>
      <c r="K2" s="22"/>
      <c r="L2" s="22"/>
      <c r="M2" s="22"/>
      <c r="N2" s="22"/>
      <c r="O2" s="22"/>
    </row>
    <row r="38" spans="1:8" x14ac:dyDescent="0.25">
      <c r="A38" s="20" t="s">
        <v>134</v>
      </c>
      <c r="B38" s="20" t="s">
        <v>136</v>
      </c>
      <c r="D38" s="20" t="s">
        <v>134</v>
      </c>
      <c r="E38" s="20" t="s">
        <v>136</v>
      </c>
      <c r="G38" s="20" t="s">
        <v>134</v>
      </c>
      <c r="H38" s="20" t="s">
        <v>137</v>
      </c>
    </row>
    <row r="39" spans="1:8" x14ac:dyDescent="0.25">
      <c r="A39" s="21" t="s">
        <v>12</v>
      </c>
      <c r="B39" s="20">
        <v>10</v>
      </c>
      <c r="D39" s="21" t="s">
        <v>21</v>
      </c>
      <c r="E39" s="20">
        <v>12</v>
      </c>
      <c r="G39" s="21" t="s">
        <v>69</v>
      </c>
    </row>
    <row r="40" spans="1:8" x14ac:dyDescent="0.25">
      <c r="A40" s="21" t="s">
        <v>33</v>
      </c>
      <c r="B40" s="20">
        <v>8</v>
      </c>
      <c r="D40" s="21" t="s">
        <v>11</v>
      </c>
      <c r="E40" s="20">
        <v>15</v>
      </c>
      <c r="G40" s="21" t="s">
        <v>38</v>
      </c>
      <c r="H40" s="20">
        <v>17</v>
      </c>
    </row>
    <row r="41" spans="1:8" x14ac:dyDescent="0.25">
      <c r="A41" s="21" t="s">
        <v>57</v>
      </c>
      <c r="B41" s="20">
        <v>8</v>
      </c>
      <c r="D41" s="21" t="s">
        <v>17</v>
      </c>
      <c r="E41" s="20">
        <v>12</v>
      </c>
      <c r="G41" s="21" t="s">
        <v>120</v>
      </c>
    </row>
    <row r="42" spans="1:8" x14ac:dyDescent="0.25">
      <c r="A42" s="21" t="s">
        <v>39</v>
      </c>
      <c r="B42" s="20">
        <v>4</v>
      </c>
      <c r="D42" s="21" t="s">
        <v>27</v>
      </c>
      <c r="E42" s="20">
        <v>11</v>
      </c>
      <c r="G42" s="21" t="s">
        <v>86</v>
      </c>
    </row>
    <row r="43" spans="1:8" x14ac:dyDescent="0.25">
      <c r="A43" s="21" t="s">
        <v>28</v>
      </c>
      <c r="B43" s="20">
        <v>8</v>
      </c>
      <c r="D43" s="21" t="s">
        <v>135</v>
      </c>
      <c r="E43" s="20">
        <v>50</v>
      </c>
      <c r="G43" s="21" t="s">
        <v>67</v>
      </c>
      <c r="H43" s="20">
        <v>14</v>
      </c>
    </row>
    <row r="44" spans="1:8" x14ac:dyDescent="0.25">
      <c r="A44" s="21" t="s">
        <v>47</v>
      </c>
      <c r="B44" s="20">
        <v>6</v>
      </c>
      <c r="G44" s="21" t="s">
        <v>63</v>
      </c>
    </row>
    <row r="45" spans="1:8" x14ac:dyDescent="0.25">
      <c r="A45" s="21" t="s">
        <v>22</v>
      </c>
      <c r="B45" s="20">
        <v>5</v>
      </c>
      <c r="G45" s="21" t="s">
        <v>95</v>
      </c>
    </row>
    <row r="46" spans="1:8" x14ac:dyDescent="0.25">
      <c r="A46" s="21" t="s">
        <v>43</v>
      </c>
      <c r="B46" s="20">
        <v>1</v>
      </c>
      <c r="G46" s="21" t="s">
        <v>45</v>
      </c>
    </row>
    <row r="47" spans="1:8" x14ac:dyDescent="0.25">
      <c r="A47" s="21" t="s">
        <v>135</v>
      </c>
      <c r="B47" s="20">
        <v>50</v>
      </c>
      <c r="G47" s="21" t="s">
        <v>20</v>
      </c>
    </row>
    <row r="48" spans="1:8" x14ac:dyDescent="0.25">
      <c r="G48" s="21" t="s">
        <v>93</v>
      </c>
    </row>
    <row r="49" spans="7:8" x14ac:dyDescent="0.25">
      <c r="G49" s="21" t="s">
        <v>50</v>
      </c>
      <c r="H49" s="20">
        <v>13</v>
      </c>
    </row>
    <row r="50" spans="7:8" x14ac:dyDescent="0.25">
      <c r="G50" s="21" t="s">
        <v>90</v>
      </c>
      <c r="H50" s="20">
        <v>8</v>
      </c>
    </row>
    <row r="51" spans="7:8" x14ac:dyDescent="0.25">
      <c r="G51" s="21" t="s">
        <v>129</v>
      </c>
    </row>
    <row r="52" spans="7:8" x14ac:dyDescent="0.25">
      <c r="G52" s="21" t="s">
        <v>97</v>
      </c>
      <c r="H52" s="20">
        <v>6</v>
      </c>
    </row>
    <row r="53" spans="7:8" x14ac:dyDescent="0.25">
      <c r="G53" s="21" t="s">
        <v>59</v>
      </c>
    </row>
    <row r="54" spans="7:8" x14ac:dyDescent="0.25">
      <c r="G54" s="21" t="s">
        <v>80</v>
      </c>
    </row>
    <row r="55" spans="7:8" x14ac:dyDescent="0.25">
      <c r="G55" s="21" t="s">
        <v>106</v>
      </c>
      <c r="H55" s="20">
        <v>4</v>
      </c>
    </row>
    <row r="56" spans="7:8" x14ac:dyDescent="0.25">
      <c r="G56" s="21" t="s">
        <v>52</v>
      </c>
    </row>
    <row r="57" spans="7:8" x14ac:dyDescent="0.25">
      <c r="G57" s="21" t="s">
        <v>15</v>
      </c>
      <c r="H57" s="20">
        <v>13</v>
      </c>
    </row>
    <row r="58" spans="7:8" x14ac:dyDescent="0.25">
      <c r="G58" s="21" t="s">
        <v>100</v>
      </c>
    </row>
    <row r="59" spans="7:8" x14ac:dyDescent="0.25">
      <c r="G59" s="21" t="s">
        <v>112</v>
      </c>
    </row>
    <row r="60" spans="7:8" x14ac:dyDescent="0.25">
      <c r="G60" s="21" t="s">
        <v>122</v>
      </c>
      <c r="H60" s="20">
        <v>0</v>
      </c>
    </row>
    <row r="61" spans="7:8" x14ac:dyDescent="0.25">
      <c r="G61" s="21" t="s">
        <v>118</v>
      </c>
    </row>
    <row r="62" spans="7:8" x14ac:dyDescent="0.25">
      <c r="G62" s="21" t="s">
        <v>41</v>
      </c>
    </row>
    <row r="63" spans="7:8" x14ac:dyDescent="0.25">
      <c r="G63" s="21" t="s">
        <v>102</v>
      </c>
    </row>
    <row r="64" spans="7:8" x14ac:dyDescent="0.25">
      <c r="G64" s="21" t="s">
        <v>127</v>
      </c>
    </row>
    <row r="65" spans="7:8" x14ac:dyDescent="0.25">
      <c r="G65" s="21" t="s">
        <v>84</v>
      </c>
      <c r="H65" s="20">
        <v>9</v>
      </c>
    </row>
    <row r="66" spans="7:8" x14ac:dyDescent="0.25">
      <c r="G66" s="21" t="s">
        <v>61</v>
      </c>
      <c r="H66" s="20">
        <v>15</v>
      </c>
    </row>
    <row r="67" spans="7:8" x14ac:dyDescent="0.25">
      <c r="G67" s="21" t="s">
        <v>110</v>
      </c>
    </row>
    <row r="68" spans="7:8" x14ac:dyDescent="0.25">
      <c r="G68" s="21" t="s">
        <v>31</v>
      </c>
    </row>
    <row r="69" spans="7:8" x14ac:dyDescent="0.25">
      <c r="G69" s="21" t="s">
        <v>125</v>
      </c>
    </row>
    <row r="70" spans="7:8" x14ac:dyDescent="0.25">
      <c r="G70" s="21" t="s">
        <v>74</v>
      </c>
    </row>
    <row r="71" spans="7:8" x14ac:dyDescent="0.25">
      <c r="G71" s="21" t="s">
        <v>71</v>
      </c>
      <c r="H71" s="20">
        <v>10</v>
      </c>
    </row>
    <row r="72" spans="7:8" x14ac:dyDescent="0.25">
      <c r="G72" s="21" t="s">
        <v>88</v>
      </c>
    </row>
    <row r="73" spans="7:8" x14ac:dyDescent="0.25">
      <c r="G73" s="21" t="s">
        <v>25</v>
      </c>
    </row>
    <row r="74" spans="7:8" x14ac:dyDescent="0.25">
      <c r="G74" s="21" t="s">
        <v>54</v>
      </c>
    </row>
    <row r="75" spans="7:8" x14ac:dyDescent="0.25">
      <c r="G75" s="21" t="s">
        <v>78</v>
      </c>
    </row>
    <row r="76" spans="7:8" x14ac:dyDescent="0.25">
      <c r="G76" s="21" t="s">
        <v>108</v>
      </c>
    </row>
    <row r="77" spans="7:8" x14ac:dyDescent="0.25">
      <c r="G77" s="21" t="s">
        <v>116</v>
      </c>
      <c r="H77" s="20">
        <v>2</v>
      </c>
    </row>
    <row r="78" spans="7:8" x14ac:dyDescent="0.25">
      <c r="G78" s="21" t="s">
        <v>65</v>
      </c>
    </row>
    <row r="79" spans="7:8" x14ac:dyDescent="0.25">
      <c r="G79" s="21" t="s">
        <v>114</v>
      </c>
    </row>
    <row r="80" spans="7:8" x14ac:dyDescent="0.25">
      <c r="G80" s="21" t="s">
        <v>9</v>
      </c>
      <c r="H80" s="20">
        <v>11</v>
      </c>
    </row>
    <row r="81" spans="7:8" x14ac:dyDescent="0.25">
      <c r="G81" s="21" t="s">
        <v>82</v>
      </c>
    </row>
    <row r="82" spans="7:8" x14ac:dyDescent="0.25">
      <c r="G82" s="21" t="s">
        <v>76</v>
      </c>
    </row>
    <row r="83" spans="7:8" x14ac:dyDescent="0.25">
      <c r="G83" s="21" t="s">
        <v>35</v>
      </c>
      <c r="H83" s="20">
        <v>14</v>
      </c>
    </row>
    <row r="84" spans="7:8" x14ac:dyDescent="0.25">
      <c r="G84" s="21" t="s">
        <v>56</v>
      </c>
    </row>
    <row r="85" spans="7:8" x14ac:dyDescent="0.25">
      <c r="G85" s="21" t="s">
        <v>135</v>
      </c>
      <c r="H85" s="20">
        <v>9.7142857142857135</v>
      </c>
    </row>
  </sheetData>
  <mergeCells count="1">
    <mergeCell ref="A1:O2"/>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Candidate_sheet</vt:lpstr>
      <vt:lpstr>Recruitment_dashboard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SASI S</dc:creator>
  <cp:lastModifiedBy>SASI S</cp:lastModifiedBy>
  <dcterms:created xsi:type="dcterms:W3CDTF">2026-01-26T05:14:22Z</dcterms:created>
  <dcterms:modified xsi:type="dcterms:W3CDTF">2026-04-08T10:46:20Z</dcterms:modified>
</cp:coreProperties>
</file>